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0"/>
  <workbookPr date1904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a3cec591b9d5589/"/>
    </mc:Choice>
  </mc:AlternateContent>
  <xr:revisionPtr revIDLastSave="0" documentId="8_{C98BC184-84F1-4C92-84F6-05998EF64675}" xr6:coauthVersionLast="47" xr6:coauthVersionMax="47" xr10:uidLastSave="{00000000-0000-0000-0000-000000000000}"/>
  <bookViews>
    <workbookView xWindow="-20" yWindow="460" windowWidth="28800" windowHeight="17540" tabRatio="885" xr2:uid="{00000000-000D-0000-FFFF-FFFF00000000}"/>
  </bookViews>
  <sheets>
    <sheet name="Standings" sheetId="3" r:id="rId1"/>
    <sheet name="Golf" sheetId="2" r:id="rId2"/>
    <sheet name="Total Points" sheetId="1" r:id="rId3"/>
    <sheet name="ProAM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0" i="2" l="1"/>
  <c r="J11" i="2" s="1"/>
  <c r="V176" i="2"/>
  <c r="V177" i="2" s="1"/>
  <c r="U176" i="2"/>
  <c r="U177" i="2" s="1"/>
  <c r="T176" i="2"/>
  <c r="T177" i="2" s="1"/>
  <c r="S176" i="2"/>
  <c r="S177" i="2" s="1"/>
  <c r="R176" i="2"/>
  <c r="Q176" i="2"/>
  <c r="Q177" i="2" s="1"/>
  <c r="P176" i="2"/>
  <c r="P177" i="2" s="1"/>
  <c r="O176" i="2"/>
  <c r="O177" i="2" s="1"/>
  <c r="N176" i="2"/>
  <c r="K176" i="2"/>
  <c r="K177" i="2" s="1"/>
  <c r="J176" i="2"/>
  <c r="J177" i="2" s="1"/>
  <c r="I176" i="2"/>
  <c r="I177" i="2" s="1"/>
  <c r="H176" i="2"/>
  <c r="G176" i="2"/>
  <c r="G177" i="2" s="1"/>
  <c r="F176" i="2"/>
  <c r="F177" i="2" s="1"/>
  <c r="E176" i="2"/>
  <c r="E177" i="2" s="1"/>
  <c r="D176" i="2"/>
  <c r="D177" i="2" s="1"/>
  <c r="C176" i="2"/>
  <c r="C177" i="2" s="1"/>
  <c r="W175" i="2"/>
  <c r="L175" i="2"/>
  <c r="W174" i="2"/>
  <c r="L174" i="2"/>
  <c r="V172" i="2"/>
  <c r="V173" i="2" s="1"/>
  <c r="E172" i="2"/>
  <c r="E173" i="2" s="1"/>
  <c r="U172" i="2"/>
  <c r="U173" i="2" s="1"/>
  <c r="T172" i="2"/>
  <c r="T173" i="2" s="1"/>
  <c r="S172" i="2"/>
  <c r="S173" i="2" s="1"/>
  <c r="R172" i="2"/>
  <c r="R173" i="2" s="1"/>
  <c r="Q172" i="2"/>
  <c r="Q173" i="2" s="1"/>
  <c r="P172" i="2"/>
  <c r="P173" i="2" s="1"/>
  <c r="O172" i="2"/>
  <c r="O173" i="2" s="1"/>
  <c r="N172" i="2"/>
  <c r="N173" i="2" s="1"/>
  <c r="K172" i="2"/>
  <c r="K173" i="2" s="1"/>
  <c r="J172" i="2"/>
  <c r="J173" i="2" s="1"/>
  <c r="I172" i="2"/>
  <c r="I173" i="2" s="1"/>
  <c r="H172" i="2"/>
  <c r="H173" i="2" s="1"/>
  <c r="G172" i="2"/>
  <c r="G173" i="2" s="1"/>
  <c r="F172" i="2"/>
  <c r="F173" i="2" s="1"/>
  <c r="D172" i="2"/>
  <c r="D173" i="2" s="1"/>
  <c r="C172" i="2"/>
  <c r="C173" i="2" s="1"/>
  <c r="W171" i="2"/>
  <c r="L171" i="2"/>
  <c r="W170" i="2"/>
  <c r="L170" i="2"/>
  <c r="V168" i="2"/>
  <c r="V169" i="2" s="1"/>
  <c r="U168" i="2"/>
  <c r="U169" i="2" s="1"/>
  <c r="T168" i="2"/>
  <c r="T169" i="2" s="1"/>
  <c r="S168" i="2"/>
  <c r="S169" i="2" s="1"/>
  <c r="R168" i="2"/>
  <c r="R169" i="2" s="1"/>
  <c r="Q168" i="2"/>
  <c r="Q169" i="2" s="1"/>
  <c r="P168" i="2"/>
  <c r="P169" i="2" s="1"/>
  <c r="O168" i="2"/>
  <c r="O169" i="2" s="1"/>
  <c r="N168" i="2"/>
  <c r="N169" i="2" s="1"/>
  <c r="K168" i="2"/>
  <c r="K169" i="2" s="1"/>
  <c r="J168" i="2"/>
  <c r="J169" i="2" s="1"/>
  <c r="I168" i="2"/>
  <c r="I169" i="2" s="1"/>
  <c r="H168" i="2"/>
  <c r="H169" i="2" s="1"/>
  <c r="G168" i="2"/>
  <c r="G169" i="2" s="1"/>
  <c r="F168" i="2"/>
  <c r="F169" i="2" s="1"/>
  <c r="E168" i="2"/>
  <c r="E169" i="2" s="1"/>
  <c r="D168" i="2"/>
  <c r="D169" i="2" s="1"/>
  <c r="C168" i="2"/>
  <c r="C169" i="2" s="1"/>
  <c r="W167" i="2"/>
  <c r="L167" i="2"/>
  <c r="W166" i="2"/>
  <c r="L166" i="2"/>
  <c r="V164" i="2"/>
  <c r="V165" i="2" s="1"/>
  <c r="U164" i="2"/>
  <c r="U165" i="2" s="1"/>
  <c r="T164" i="2"/>
  <c r="T165" i="2" s="1"/>
  <c r="S164" i="2"/>
  <c r="S165" i="2" s="1"/>
  <c r="R164" i="2"/>
  <c r="R165" i="2" s="1"/>
  <c r="Q164" i="2"/>
  <c r="Q165" i="2" s="1"/>
  <c r="P164" i="2"/>
  <c r="P165" i="2" s="1"/>
  <c r="O164" i="2"/>
  <c r="O165" i="2" s="1"/>
  <c r="N164" i="2"/>
  <c r="N165" i="2" s="1"/>
  <c r="K164" i="2"/>
  <c r="K165" i="2" s="1"/>
  <c r="J164" i="2"/>
  <c r="J165" i="2" s="1"/>
  <c r="I164" i="2"/>
  <c r="I165" i="2" s="1"/>
  <c r="H164" i="2"/>
  <c r="H165" i="2" s="1"/>
  <c r="G164" i="2"/>
  <c r="G165" i="2" s="1"/>
  <c r="F164" i="2"/>
  <c r="F165" i="2" s="1"/>
  <c r="E164" i="2"/>
  <c r="E165" i="2" s="1"/>
  <c r="D164" i="2"/>
  <c r="D165" i="2" s="1"/>
  <c r="C164" i="2"/>
  <c r="C165" i="2" s="1"/>
  <c r="W163" i="2"/>
  <c r="L163" i="2"/>
  <c r="W162" i="2"/>
  <c r="L162" i="2"/>
  <c r="V160" i="2"/>
  <c r="V161" i="2" s="1"/>
  <c r="U160" i="2"/>
  <c r="U161" i="2" s="1"/>
  <c r="T160" i="2"/>
  <c r="T161" i="2" s="1"/>
  <c r="S160" i="2"/>
  <c r="S161" i="2" s="1"/>
  <c r="R160" i="2"/>
  <c r="R161" i="2" s="1"/>
  <c r="Q160" i="2"/>
  <c r="Q161" i="2" s="1"/>
  <c r="P160" i="2"/>
  <c r="P161" i="2" s="1"/>
  <c r="O160" i="2"/>
  <c r="O161" i="2" s="1"/>
  <c r="N160" i="2"/>
  <c r="N161" i="2" s="1"/>
  <c r="K160" i="2"/>
  <c r="K161" i="2" s="1"/>
  <c r="J160" i="2"/>
  <c r="J161" i="2" s="1"/>
  <c r="I160" i="2"/>
  <c r="I161" i="2" s="1"/>
  <c r="H160" i="2"/>
  <c r="H161" i="2" s="1"/>
  <c r="G160" i="2"/>
  <c r="G161" i="2" s="1"/>
  <c r="F160" i="2"/>
  <c r="F161" i="2" s="1"/>
  <c r="E160" i="2"/>
  <c r="E161" i="2" s="1"/>
  <c r="D160" i="2"/>
  <c r="D161" i="2" s="1"/>
  <c r="C160" i="2"/>
  <c r="C161" i="2" s="1"/>
  <c r="W159" i="2"/>
  <c r="L159" i="2"/>
  <c r="W158" i="2"/>
  <c r="L158" i="2"/>
  <c r="V156" i="2"/>
  <c r="V157" i="2" s="1"/>
  <c r="U156" i="2"/>
  <c r="U157" i="2" s="1"/>
  <c r="T156" i="2"/>
  <c r="T157" i="2" s="1"/>
  <c r="S156" i="2"/>
  <c r="S157" i="2" s="1"/>
  <c r="R156" i="2"/>
  <c r="R157" i="2" s="1"/>
  <c r="Q156" i="2"/>
  <c r="Q157" i="2" s="1"/>
  <c r="P156" i="2"/>
  <c r="P157" i="2" s="1"/>
  <c r="O156" i="2"/>
  <c r="N156" i="2"/>
  <c r="N157" i="2" s="1"/>
  <c r="K156" i="2"/>
  <c r="K157" i="2" s="1"/>
  <c r="J156" i="2"/>
  <c r="J157" i="2" s="1"/>
  <c r="I156" i="2"/>
  <c r="I157" i="2" s="1"/>
  <c r="H156" i="2"/>
  <c r="H157" i="2" s="1"/>
  <c r="G156" i="2"/>
  <c r="G157" i="2" s="1"/>
  <c r="F156" i="2"/>
  <c r="F157" i="2" s="1"/>
  <c r="E156" i="2"/>
  <c r="E157" i="2" s="1"/>
  <c r="D156" i="2"/>
  <c r="D157" i="2" s="1"/>
  <c r="C156" i="2"/>
  <c r="C157" i="2" s="1"/>
  <c r="W155" i="2"/>
  <c r="L155" i="2"/>
  <c r="W154" i="2"/>
  <c r="L154" i="2"/>
  <c r="V152" i="2"/>
  <c r="V153" i="2" s="1"/>
  <c r="U152" i="2"/>
  <c r="U153" i="2" s="1"/>
  <c r="T152" i="2"/>
  <c r="T153" i="2" s="1"/>
  <c r="S152" i="2"/>
  <c r="S153" i="2" s="1"/>
  <c r="R152" i="2"/>
  <c r="R153" i="2" s="1"/>
  <c r="Q152" i="2"/>
  <c r="Q153" i="2" s="1"/>
  <c r="P152" i="2"/>
  <c r="P153" i="2" s="1"/>
  <c r="O152" i="2"/>
  <c r="O153" i="2" s="1"/>
  <c r="N152" i="2"/>
  <c r="N153" i="2" s="1"/>
  <c r="K152" i="2"/>
  <c r="K153" i="2" s="1"/>
  <c r="J152" i="2"/>
  <c r="J153" i="2" s="1"/>
  <c r="I152" i="2"/>
  <c r="I153" i="2" s="1"/>
  <c r="H152" i="2"/>
  <c r="H153" i="2" s="1"/>
  <c r="G152" i="2"/>
  <c r="G153" i="2" s="1"/>
  <c r="F152" i="2"/>
  <c r="F153" i="2" s="1"/>
  <c r="E152" i="2"/>
  <c r="E153" i="2" s="1"/>
  <c r="D152" i="2"/>
  <c r="D153" i="2" s="1"/>
  <c r="C152" i="2"/>
  <c r="C153" i="2" s="1"/>
  <c r="W151" i="2"/>
  <c r="L151" i="2"/>
  <c r="W150" i="2"/>
  <c r="L150" i="2"/>
  <c r="V148" i="2"/>
  <c r="V149" i="2" s="1"/>
  <c r="U148" i="2"/>
  <c r="U149" i="2" s="1"/>
  <c r="T148" i="2"/>
  <c r="T149" i="2" s="1"/>
  <c r="S148" i="2"/>
  <c r="S149" i="2" s="1"/>
  <c r="R148" i="2"/>
  <c r="R149" i="2" s="1"/>
  <c r="Q148" i="2"/>
  <c r="Q149" i="2" s="1"/>
  <c r="P148" i="2"/>
  <c r="P149" i="2" s="1"/>
  <c r="O148" i="2"/>
  <c r="O149" i="2" s="1"/>
  <c r="N148" i="2"/>
  <c r="N149" i="2" s="1"/>
  <c r="K148" i="2"/>
  <c r="K149" i="2" s="1"/>
  <c r="J148" i="2"/>
  <c r="J149" i="2" s="1"/>
  <c r="I148" i="2"/>
  <c r="I149" i="2" s="1"/>
  <c r="H148" i="2"/>
  <c r="H149" i="2" s="1"/>
  <c r="G148" i="2"/>
  <c r="G149" i="2" s="1"/>
  <c r="F148" i="2"/>
  <c r="E148" i="2"/>
  <c r="E149" i="2" s="1"/>
  <c r="D148" i="2"/>
  <c r="D149" i="2" s="1"/>
  <c r="C148" i="2"/>
  <c r="C149" i="2" s="1"/>
  <c r="W147" i="2"/>
  <c r="L147" i="2"/>
  <c r="W146" i="2"/>
  <c r="L146" i="2"/>
  <c r="V144" i="2"/>
  <c r="U144" i="2"/>
  <c r="U145" i="2" s="1"/>
  <c r="T144" i="2"/>
  <c r="T145" i="2" s="1"/>
  <c r="S144" i="2"/>
  <c r="S145" i="2" s="1"/>
  <c r="R144" i="2"/>
  <c r="R145" i="2" s="1"/>
  <c r="Q144" i="2"/>
  <c r="Q145" i="2" s="1"/>
  <c r="P144" i="2"/>
  <c r="P145" i="2" s="1"/>
  <c r="O144" i="2"/>
  <c r="O145" i="2" s="1"/>
  <c r="N144" i="2"/>
  <c r="N145" i="2" s="1"/>
  <c r="K144" i="2"/>
  <c r="K145" i="2" s="1"/>
  <c r="J144" i="2"/>
  <c r="J145" i="2" s="1"/>
  <c r="I144" i="2"/>
  <c r="I145" i="2" s="1"/>
  <c r="H144" i="2"/>
  <c r="H145" i="2" s="1"/>
  <c r="G144" i="2"/>
  <c r="G145" i="2" s="1"/>
  <c r="F144" i="2"/>
  <c r="F145" i="2" s="1"/>
  <c r="E144" i="2"/>
  <c r="E145" i="2" s="1"/>
  <c r="D144" i="2"/>
  <c r="D145" i="2" s="1"/>
  <c r="C144" i="2"/>
  <c r="C145" i="2" s="1"/>
  <c r="W143" i="2"/>
  <c r="L143" i="2"/>
  <c r="W142" i="2"/>
  <c r="L142" i="2"/>
  <c r="U140" i="2"/>
  <c r="U141" i="2" s="1"/>
  <c r="V140" i="2"/>
  <c r="V141" i="2" s="1"/>
  <c r="T140" i="2"/>
  <c r="T141" i="2" s="1"/>
  <c r="S140" i="2"/>
  <c r="S141" i="2" s="1"/>
  <c r="R140" i="2"/>
  <c r="R141" i="2" s="1"/>
  <c r="Q140" i="2"/>
  <c r="Q141" i="2" s="1"/>
  <c r="P140" i="2"/>
  <c r="P141" i="2" s="1"/>
  <c r="O140" i="2"/>
  <c r="O141" i="2" s="1"/>
  <c r="N140" i="2"/>
  <c r="N141" i="2" s="1"/>
  <c r="K140" i="2"/>
  <c r="K141" i="2" s="1"/>
  <c r="J140" i="2"/>
  <c r="J141" i="2" s="1"/>
  <c r="I140" i="2"/>
  <c r="I141" i="2" s="1"/>
  <c r="H140" i="2"/>
  <c r="H141" i="2" s="1"/>
  <c r="G140" i="2"/>
  <c r="G141" i="2" s="1"/>
  <c r="F140" i="2"/>
  <c r="F141" i="2" s="1"/>
  <c r="E140" i="2"/>
  <c r="E141" i="2" s="1"/>
  <c r="D140" i="2"/>
  <c r="D141" i="2" s="1"/>
  <c r="C140" i="2"/>
  <c r="C141" i="2" s="1"/>
  <c r="W139" i="2"/>
  <c r="L139" i="2"/>
  <c r="W138" i="2"/>
  <c r="L138" i="2"/>
  <c r="N136" i="2"/>
  <c r="N137" i="2" s="1"/>
  <c r="V136" i="2"/>
  <c r="V137" i="2" s="1"/>
  <c r="U136" i="2"/>
  <c r="U137" i="2" s="1"/>
  <c r="T136" i="2"/>
  <c r="T137" i="2" s="1"/>
  <c r="S136" i="2"/>
  <c r="S137" i="2" s="1"/>
  <c r="R136" i="2"/>
  <c r="R137" i="2" s="1"/>
  <c r="Q136" i="2"/>
  <c r="Q137" i="2" s="1"/>
  <c r="P136" i="2"/>
  <c r="P137" i="2" s="1"/>
  <c r="O136" i="2"/>
  <c r="O137" i="2" s="1"/>
  <c r="K136" i="2"/>
  <c r="K137" i="2" s="1"/>
  <c r="J136" i="2"/>
  <c r="J137" i="2" s="1"/>
  <c r="I136" i="2"/>
  <c r="I137" i="2" s="1"/>
  <c r="H136" i="2"/>
  <c r="H137" i="2" s="1"/>
  <c r="G136" i="2"/>
  <c r="G137" i="2" s="1"/>
  <c r="F136" i="2"/>
  <c r="F137" i="2" s="1"/>
  <c r="E136" i="2"/>
  <c r="E137" i="2" s="1"/>
  <c r="D136" i="2"/>
  <c r="D137" i="2" s="1"/>
  <c r="C136" i="2"/>
  <c r="C137" i="2" s="1"/>
  <c r="W135" i="2"/>
  <c r="L135" i="2"/>
  <c r="W134" i="2"/>
  <c r="L134" i="2"/>
  <c r="V132" i="2"/>
  <c r="V133" i="2" s="1"/>
  <c r="U132" i="2"/>
  <c r="U133" i="2" s="1"/>
  <c r="T132" i="2"/>
  <c r="T133" i="2" s="1"/>
  <c r="S132" i="2"/>
  <c r="S133" i="2" s="1"/>
  <c r="R132" i="2"/>
  <c r="R133" i="2" s="1"/>
  <c r="Q132" i="2"/>
  <c r="Q133" i="2" s="1"/>
  <c r="P132" i="2"/>
  <c r="P133" i="2" s="1"/>
  <c r="O132" i="2"/>
  <c r="O133" i="2" s="1"/>
  <c r="N132" i="2"/>
  <c r="N133" i="2" s="1"/>
  <c r="K132" i="2"/>
  <c r="K133" i="2" s="1"/>
  <c r="J132" i="2"/>
  <c r="J133" i="2" s="1"/>
  <c r="I132" i="2"/>
  <c r="I133" i="2" s="1"/>
  <c r="H132" i="2"/>
  <c r="H133" i="2" s="1"/>
  <c r="G132" i="2"/>
  <c r="G133" i="2" s="1"/>
  <c r="F132" i="2"/>
  <c r="F133" i="2" s="1"/>
  <c r="E132" i="2"/>
  <c r="E133" i="2" s="1"/>
  <c r="D132" i="2"/>
  <c r="D133" i="2" s="1"/>
  <c r="C132" i="2"/>
  <c r="C133" i="2" s="1"/>
  <c r="W131" i="2"/>
  <c r="L131" i="2"/>
  <c r="W130" i="2"/>
  <c r="L130" i="2"/>
  <c r="V128" i="2"/>
  <c r="V129" i="2" s="1"/>
  <c r="U128" i="2"/>
  <c r="U129" i="2" s="1"/>
  <c r="T128" i="2"/>
  <c r="T129" i="2" s="1"/>
  <c r="S128" i="2"/>
  <c r="S129" i="2" s="1"/>
  <c r="R128" i="2"/>
  <c r="R129" i="2" s="1"/>
  <c r="Q128" i="2"/>
  <c r="Q129" i="2" s="1"/>
  <c r="P128" i="2"/>
  <c r="P129" i="2" s="1"/>
  <c r="O128" i="2"/>
  <c r="O129" i="2" s="1"/>
  <c r="N128" i="2"/>
  <c r="N129" i="2" s="1"/>
  <c r="K128" i="2"/>
  <c r="J128" i="2"/>
  <c r="J129" i="2" s="1"/>
  <c r="I128" i="2"/>
  <c r="I129" i="2" s="1"/>
  <c r="H128" i="2"/>
  <c r="H129" i="2" s="1"/>
  <c r="G128" i="2"/>
  <c r="G129" i="2" s="1"/>
  <c r="F128" i="2"/>
  <c r="F129" i="2" s="1"/>
  <c r="E128" i="2"/>
  <c r="E129" i="2" s="1"/>
  <c r="D128" i="2"/>
  <c r="D129" i="2" s="1"/>
  <c r="C128" i="2"/>
  <c r="C129" i="2" s="1"/>
  <c r="W127" i="2"/>
  <c r="L127" i="2"/>
  <c r="W126" i="2"/>
  <c r="L126" i="2"/>
  <c r="V124" i="2"/>
  <c r="V125" i="2" s="1"/>
  <c r="U124" i="2"/>
  <c r="U125" i="2" s="1"/>
  <c r="T124" i="2"/>
  <c r="T125" i="2" s="1"/>
  <c r="S124" i="2"/>
  <c r="S125" i="2" s="1"/>
  <c r="R124" i="2"/>
  <c r="R125" i="2" s="1"/>
  <c r="Q124" i="2"/>
  <c r="Q125" i="2" s="1"/>
  <c r="P124" i="2"/>
  <c r="P125" i="2" s="1"/>
  <c r="O124" i="2"/>
  <c r="O125" i="2" s="1"/>
  <c r="N124" i="2"/>
  <c r="N125" i="2" s="1"/>
  <c r="K124" i="2"/>
  <c r="K125" i="2" s="1"/>
  <c r="J124" i="2"/>
  <c r="J125" i="2" s="1"/>
  <c r="I124" i="2"/>
  <c r="I125" i="2" s="1"/>
  <c r="H124" i="2"/>
  <c r="H125" i="2" s="1"/>
  <c r="G124" i="2"/>
  <c r="G125" i="2" s="1"/>
  <c r="F124" i="2"/>
  <c r="F125" i="2" s="1"/>
  <c r="E124" i="2"/>
  <c r="E125" i="2" s="1"/>
  <c r="D124" i="2"/>
  <c r="D125" i="2" s="1"/>
  <c r="C124" i="2"/>
  <c r="C125" i="2" s="1"/>
  <c r="W123" i="2"/>
  <c r="L123" i="2"/>
  <c r="W122" i="2"/>
  <c r="L122" i="2"/>
  <c r="V120" i="2"/>
  <c r="V121" i="2" s="1"/>
  <c r="U120" i="2"/>
  <c r="U121" i="2" s="1"/>
  <c r="T120" i="2"/>
  <c r="T121" i="2" s="1"/>
  <c r="S120" i="2"/>
  <c r="S121" i="2" s="1"/>
  <c r="R120" i="2"/>
  <c r="R121" i="2" s="1"/>
  <c r="Q120" i="2"/>
  <c r="Q121" i="2" s="1"/>
  <c r="P120" i="2"/>
  <c r="P121" i="2" s="1"/>
  <c r="O120" i="2"/>
  <c r="O121" i="2" s="1"/>
  <c r="N120" i="2"/>
  <c r="N121" i="2" s="1"/>
  <c r="K120" i="2"/>
  <c r="K121" i="2" s="1"/>
  <c r="J120" i="2"/>
  <c r="J121" i="2" s="1"/>
  <c r="I120" i="2"/>
  <c r="I121" i="2" s="1"/>
  <c r="H120" i="2"/>
  <c r="H121" i="2" s="1"/>
  <c r="G120" i="2"/>
  <c r="G121" i="2" s="1"/>
  <c r="F120" i="2"/>
  <c r="F121" i="2" s="1"/>
  <c r="E120" i="2"/>
  <c r="E121" i="2" s="1"/>
  <c r="D120" i="2"/>
  <c r="D121" i="2" s="1"/>
  <c r="C120" i="2"/>
  <c r="C121" i="2" s="1"/>
  <c r="W119" i="2"/>
  <c r="L119" i="2"/>
  <c r="W118" i="2"/>
  <c r="L118" i="2"/>
  <c r="V116" i="2"/>
  <c r="V117" i="2" s="1"/>
  <c r="U116" i="2"/>
  <c r="U117" i="2" s="1"/>
  <c r="T116" i="2"/>
  <c r="T117" i="2" s="1"/>
  <c r="S116" i="2"/>
  <c r="S117" i="2" s="1"/>
  <c r="R116" i="2"/>
  <c r="R117" i="2" s="1"/>
  <c r="Q116" i="2"/>
  <c r="Q117" i="2" s="1"/>
  <c r="P116" i="2"/>
  <c r="P117" i="2" s="1"/>
  <c r="O116" i="2"/>
  <c r="O117" i="2" s="1"/>
  <c r="N116" i="2"/>
  <c r="N117" i="2" s="1"/>
  <c r="K116" i="2"/>
  <c r="K117" i="2" s="1"/>
  <c r="J116" i="2"/>
  <c r="J117" i="2" s="1"/>
  <c r="I116" i="2"/>
  <c r="I117" i="2" s="1"/>
  <c r="H116" i="2"/>
  <c r="H117" i="2" s="1"/>
  <c r="G116" i="2"/>
  <c r="G117" i="2" s="1"/>
  <c r="F116" i="2"/>
  <c r="F117" i="2" s="1"/>
  <c r="E116" i="2"/>
  <c r="E117" i="2" s="1"/>
  <c r="D116" i="2"/>
  <c r="D117" i="2" s="1"/>
  <c r="C116" i="2"/>
  <c r="C117" i="2" s="1"/>
  <c r="W115" i="2"/>
  <c r="L115" i="2"/>
  <c r="W114" i="2"/>
  <c r="L114" i="2"/>
  <c r="V112" i="2"/>
  <c r="V113" i="2" s="1"/>
  <c r="U112" i="2"/>
  <c r="U113" i="2" s="1"/>
  <c r="T112" i="2"/>
  <c r="T113" i="2" s="1"/>
  <c r="S112" i="2"/>
  <c r="S113" i="2" s="1"/>
  <c r="R112" i="2"/>
  <c r="R113" i="2" s="1"/>
  <c r="Q112" i="2"/>
  <c r="Q113" i="2" s="1"/>
  <c r="P112" i="2"/>
  <c r="P113" i="2" s="1"/>
  <c r="O112" i="2"/>
  <c r="O113" i="2" s="1"/>
  <c r="N112" i="2"/>
  <c r="N113" i="2" s="1"/>
  <c r="K112" i="2"/>
  <c r="K113" i="2" s="1"/>
  <c r="J112" i="2"/>
  <c r="J113" i="2" s="1"/>
  <c r="I112" i="2"/>
  <c r="I113" i="2" s="1"/>
  <c r="H112" i="2"/>
  <c r="H113" i="2" s="1"/>
  <c r="G112" i="2"/>
  <c r="G113" i="2" s="1"/>
  <c r="F112" i="2"/>
  <c r="F113" i="2" s="1"/>
  <c r="E112" i="2"/>
  <c r="E113" i="2" s="1"/>
  <c r="D112" i="2"/>
  <c r="D113" i="2" s="1"/>
  <c r="C112" i="2"/>
  <c r="C113" i="2" s="1"/>
  <c r="W111" i="2"/>
  <c r="L111" i="2"/>
  <c r="W110" i="2"/>
  <c r="L110" i="2"/>
  <c r="V108" i="2"/>
  <c r="V109" i="2" s="1"/>
  <c r="U108" i="2"/>
  <c r="U109" i="2" s="1"/>
  <c r="T108" i="2"/>
  <c r="T109" i="2" s="1"/>
  <c r="S108" i="2"/>
  <c r="S109" i="2" s="1"/>
  <c r="R108" i="2"/>
  <c r="R109" i="2" s="1"/>
  <c r="Q108" i="2"/>
  <c r="Q109" i="2" s="1"/>
  <c r="P108" i="2"/>
  <c r="P109" i="2" s="1"/>
  <c r="O108" i="2"/>
  <c r="O109" i="2" s="1"/>
  <c r="N108" i="2"/>
  <c r="N109" i="2" s="1"/>
  <c r="K108" i="2"/>
  <c r="K109" i="2" s="1"/>
  <c r="J108" i="2"/>
  <c r="J109" i="2" s="1"/>
  <c r="I108" i="2"/>
  <c r="I109" i="2" s="1"/>
  <c r="H108" i="2"/>
  <c r="H109" i="2" s="1"/>
  <c r="G108" i="2"/>
  <c r="G109" i="2" s="1"/>
  <c r="F108" i="2"/>
  <c r="F109" i="2" s="1"/>
  <c r="E108" i="2"/>
  <c r="E109" i="2" s="1"/>
  <c r="D108" i="2"/>
  <c r="D109" i="2" s="1"/>
  <c r="C108" i="2"/>
  <c r="C109" i="2" s="1"/>
  <c r="W107" i="2"/>
  <c r="L107" i="2"/>
  <c r="W106" i="2"/>
  <c r="L106" i="2"/>
  <c r="K104" i="2"/>
  <c r="K105" i="2" s="1"/>
  <c r="V104" i="2"/>
  <c r="V105" i="2" s="1"/>
  <c r="U104" i="2"/>
  <c r="U105" i="2" s="1"/>
  <c r="T104" i="2"/>
  <c r="T105" i="2" s="1"/>
  <c r="S104" i="2"/>
  <c r="S105" i="2" s="1"/>
  <c r="R104" i="2"/>
  <c r="R105" i="2" s="1"/>
  <c r="Q104" i="2"/>
  <c r="Q105" i="2" s="1"/>
  <c r="P104" i="2"/>
  <c r="P105" i="2" s="1"/>
  <c r="O104" i="2"/>
  <c r="N104" i="2"/>
  <c r="N105" i="2" s="1"/>
  <c r="J104" i="2"/>
  <c r="J105" i="2" s="1"/>
  <c r="I104" i="2"/>
  <c r="I105" i="2" s="1"/>
  <c r="H104" i="2"/>
  <c r="H105" i="2" s="1"/>
  <c r="G104" i="2"/>
  <c r="G105" i="2" s="1"/>
  <c r="F104" i="2"/>
  <c r="F105" i="2" s="1"/>
  <c r="E104" i="2"/>
  <c r="E105" i="2" s="1"/>
  <c r="D104" i="2"/>
  <c r="D105" i="2" s="1"/>
  <c r="C104" i="2"/>
  <c r="W103" i="2"/>
  <c r="L103" i="2"/>
  <c r="W102" i="2"/>
  <c r="L102" i="2"/>
  <c r="V100" i="2"/>
  <c r="V101" i="2" s="1"/>
  <c r="U100" i="2"/>
  <c r="U101" i="2" s="1"/>
  <c r="T100" i="2"/>
  <c r="T101" i="2" s="1"/>
  <c r="S100" i="2"/>
  <c r="S101" i="2" s="1"/>
  <c r="R100" i="2"/>
  <c r="R101" i="2" s="1"/>
  <c r="Q100" i="2"/>
  <c r="Q101" i="2" s="1"/>
  <c r="P100" i="2"/>
  <c r="P101" i="2" s="1"/>
  <c r="O100" i="2"/>
  <c r="O101" i="2" s="1"/>
  <c r="N100" i="2"/>
  <c r="N101" i="2" s="1"/>
  <c r="K100" i="2"/>
  <c r="K101" i="2" s="1"/>
  <c r="J100" i="2"/>
  <c r="J101" i="2" s="1"/>
  <c r="I100" i="2"/>
  <c r="I101" i="2" s="1"/>
  <c r="H100" i="2"/>
  <c r="H101" i="2" s="1"/>
  <c r="G100" i="2"/>
  <c r="G101" i="2" s="1"/>
  <c r="F100" i="2"/>
  <c r="F101" i="2" s="1"/>
  <c r="E100" i="2"/>
  <c r="E101" i="2" s="1"/>
  <c r="D100" i="2"/>
  <c r="C100" i="2"/>
  <c r="C101" i="2" s="1"/>
  <c r="W99" i="2"/>
  <c r="L99" i="2"/>
  <c r="W98" i="2"/>
  <c r="L98" i="2"/>
  <c r="V10" i="2"/>
  <c r="V11" i="2" s="1"/>
  <c r="U10" i="2"/>
  <c r="U11" i="2" s="1"/>
  <c r="T10" i="2"/>
  <c r="T11" i="2" s="1"/>
  <c r="S10" i="2"/>
  <c r="S11" i="2" s="1"/>
  <c r="R10" i="2"/>
  <c r="R11" i="2" s="1"/>
  <c r="Q10" i="2"/>
  <c r="Q11" i="2" s="1"/>
  <c r="P10" i="2"/>
  <c r="P11" i="2" s="1"/>
  <c r="O10" i="2"/>
  <c r="O11" i="2" s="1"/>
  <c r="N10" i="2"/>
  <c r="N11" i="2" s="1"/>
  <c r="V14" i="2"/>
  <c r="V15" i="2" s="1"/>
  <c r="U14" i="2"/>
  <c r="U15" i="2" s="1"/>
  <c r="T14" i="2"/>
  <c r="T15" i="2" s="1"/>
  <c r="S14" i="2"/>
  <c r="S15" i="2" s="1"/>
  <c r="R14" i="2"/>
  <c r="R15" i="2" s="1"/>
  <c r="Q14" i="2"/>
  <c r="Q15" i="2" s="1"/>
  <c r="P14" i="2"/>
  <c r="P15" i="2" s="1"/>
  <c r="O14" i="2"/>
  <c r="O15" i="2" s="1"/>
  <c r="N14" i="2"/>
  <c r="N15" i="2" s="1"/>
  <c r="V18" i="2"/>
  <c r="V19" i="2" s="1"/>
  <c r="U18" i="2"/>
  <c r="U19" i="2" s="1"/>
  <c r="T18" i="2"/>
  <c r="T19" i="2" s="1"/>
  <c r="S18" i="2"/>
  <c r="S19" i="2" s="1"/>
  <c r="R18" i="2"/>
  <c r="R19" i="2" s="1"/>
  <c r="Q18" i="2"/>
  <c r="Q19" i="2" s="1"/>
  <c r="P18" i="2"/>
  <c r="P19" i="2" s="1"/>
  <c r="O18" i="2"/>
  <c r="O19" i="2" s="1"/>
  <c r="N18" i="2"/>
  <c r="N19" i="2" s="1"/>
  <c r="V22" i="2"/>
  <c r="V23" i="2" s="1"/>
  <c r="U22" i="2"/>
  <c r="U23" i="2" s="1"/>
  <c r="T22" i="2"/>
  <c r="T23" i="2" s="1"/>
  <c r="S22" i="2"/>
  <c r="S23" i="2" s="1"/>
  <c r="R22" i="2"/>
  <c r="R23" i="2" s="1"/>
  <c r="Q22" i="2"/>
  <c r="Q23" i="2" s="1"/>
  <c r="P22" i="2"/>
  <c r="P23" i="2" s="1"/>
  <c r="O22" i="2"/>
  <c r="O23" i="2" s="1"/>
  <c r="N22" i="2"/>
  <c r="N23" i="2" s="1"/>
  <c r="K10" i="2"/>
  <c r="K11" i="2" s="1"/>
  <c r="I10" i="2"/>
  <c r="I11" i="2" s="1"/>
  <c r="H10" i="2"/>
  <c r="H11" i="2" s="1"/>
  <c r="G10" i="2"/>
  <c r="G11" i="2" s="1"/>
  <c r="F10" i="2"/>
  <c r="F11" i="2" s="1"/>
  <c r="E10" i="2"/>
  <c r="E11" i="2" s="1"/>
  <c r="D10" i="2"/>
  <c r="D11" i="2" s="1"/>
  <c r="C10" i="2"/>
  <c r="C11" i="2" s="1"/>
  <c r="K14" i="2"/>
  <c r="K15" i="2" s="1"/>
  <c r="J14" i="2"/>
  <c r="J15" i="2" s="1"/>
  <c r="I14" i="2"/>
  <c r="I15" i="2" s="1"/>
  <c r="H14" i="2"/>
  <c r="H15" i="2" s="1"/>
  <c r="G14" i="2"/>
  <c r="G15" i="2" s="1"/>
  <c r="F14" i="2"/>
  <c r="F15" i="2" s="1"/>
  <c r="E14" i="2"/>
  <c r="E15" i="2" s="1"/>
  <c r="D14" i="2"/>
  <c r="D15" i="2" s="1"/>
  <c r="C14" i="2"/>
  <c r="C15" i="2" s="1"/>
  <c r="K18" i="2"/>
  <c r="K19" i="2" s="1"/>
  <c r="J18" i="2"/>
  <c r="J19" i="2" s="1"/>
  <c r="I18" i="2"/>
  <c r="I19" i="2" s="1"/>
  <c r="H18" i="2"/>
  <c r="H19" i="2" s="1"/>
  <c r="G18" i="2"/>
  <c r="G19" i="2" s="1"/>
  <c r="F18" i="2"/>
  <c r="F19" i="2" s="1"/>
  <c r="E18" i="2"/>
  <c r="E19" i="2" s="1"/>
  <c r="D18" i="2"/>
  <c r="D19" i="2" s="1"/>
  <c r="C18" i="2"/>
  <c r="C19" i="2" s="1"/>
  <c r="K22" i="2"/>
  <c r="K23" i="2" s="1"/>
  <c r="J22" i="2"/>
  <c r="J23" i="2" s="1"/>
  <c r="I22" i="2"/>
  <c r="I23" i="2" s="1"/>
  <c r="H22" i="2"/>
  <c r="H23" i="2" s="1"/>
  <c r="G22" i="2"/>
  <c r="G23" i="2" s="1"/>
  <c r="F22" i="2"/>
  <c r="F23" i="2" s="1"/>
  <c r="E22" i="2"/>
  <c r="E23" i="2" s="1"/>
  <c r="D22" i="2"/>
  <c r="D23" i="2" s="1"/>
  <c r="C22" i="2"/>
  <c r="C23" i="2" s="1"/>
  <c r="L8" i="2"/>
  <c r="E86" i="2"/>
  <c r="E87" i="2" s="1"/>
  <c r="F86" i="2"/>
  <c r="F87" i="2" s="1"/>
  <c r="K86" i="2"/>
  <c r="K87" i="2" s="1"/>
  <c r="C86" i="2"/>
  <c r="C87" i="2" s="1"/>
  <c r="D86" i="2"/>
  <c r="D87" i="2" s="1"/>
  <c r="G86" i="2"/>
  <c r="G87" i="2" s="1"/>
  <c r="H86" i="2"/>
  <c r="H87" i="2" s="1"/>
  <c r="I86" i="2"/>
  <c r="I87" i="2" s="1"/>
  <c r="J86" i="2"/>
  <c r="J87" i="2" s="1"/>
  <c r="V86" i="2"/>
  <c r="V87" i="2" s="1"/>
  <c r="P86" i="2"/>
  <c r="P87" i="2" s="1"/>
  <c r="T86" i="2"/>
  <c r="T87" i="2" s="1"/>
  <c r="N86" i="2"/>
  <c r="N87" i="2" s="1"/>
  <c r="O86" i="2"/>
  <c r="O87" i="2" s="1"/>
  <c r="Q86" i="2"/>
  <c r="Q87" i="2" s="1"/>
  <c r="R86" i="2"/>
  <c r="R87" i="2" s="1"/>
  <c r="S86" i="2"/>
  <c r="S87" i="2" s="1"/>
  <c r="U86" i="2"/>
  <c r="U87" i="2" s="1"/>
  <c r="D74" i="2"/>
  <c r="D75" i="2" s="1"/>
  <c r="C74" i="2"/>
  <c r="C75" i="2" s="1"/>
  <c r="E74" i="2"/>
  <c r="E75" i="2" s="1"/>
  <c r="F74" i="2"/>
  <c r="F75" i="2" s="1"/>
  <c r="G74" i="2"/>
  <c r="G75" i="2" s="1"/>
  <c r="H74" i="2"/>
  <c r="H75" i="2" s="1"/>
  <c r="I74" i="2"/>
  <c r="I75" i="2" s="1"/>
  <c r="J74" i="2"/>
  <c r="J75" i="2" s="1"/>
  <c r="K74" i="2"/>
  <c r="K75" i="2" s="1"/>
  <c r="N74" i="2"/>
  <c r="N75" i="2" s="1"/>
  <c r="P74" i="2"/>
  <c r="P75" i="2" s="1"/>
  <c r="R74" i="2"/>
  <c r="R75" i="2" s="1"/>
  <c r="O74" i="2"/>
  <c r="O75" i="2" s="1"/>
  <c r="Q74" i="2"/>
  <c r="Q75" i="2" s="1"/>
  <c r="S74" i="2"/>
  <c r="S75" i="2" s="1"/>
  <c r="T74" i="2"/>
  <c r="T75" i="2" s="1"/>
  <c r="U74" i="2"/>
  <c r="U75" i="2" s="1"/>
  <c r="V74" i="2"/>
  <c r="V75" i="2" s="1"/>
  <c r="C58" i="2"/>
  <c r="C59" i="2" s="1"/>
  <c r="D58" i="2"/>
  <c r="D59" i="2" s="1"/>
  <c r="E58" i="2"/>
  <c r="E59" i="2" s="1"/>
  <c r="F58" i="2"/>
  <c r="F59" i="2" s="1"/>
  <c r="G58" i="2"/>
  <c r="G59" i="2" s="1"/>
  <c r="H58" i="2"/>
  <c r="H59" i="2" s="1"/>
  <c r="I58" i="2"/>
  <c r="I59" i="2" s="1"/>
  <c r="J58" i="2"/>
  <c r="J59" i="2" s="1"/>
  <c r="K58" i="2"/>
  <c r="K59" i="2" s="1"/>
  <c r="N58" i="2"/>
  <c r="N59" i="2" s="1"/>
  <c r="O58" i="2"/>
  <c r="O59" i="2" s="1"/>
  <c r="P58" i="2"/>
  <c r="P59" i="2" s="1"/>
  <c r="Q58" i="2"/>
  <c r="Q59" i="2" s="1"/>
  <c r="R58" i="2"/>
  <c r="R59" i="2" s="1"/>
  <c r="S58" i="2"/>
  <c r="S59" i="2" s="1"/>
  <c r="T58" i="2"/>
  <c r="T59" i="2" s="1"/>
  <c r="U58" i="2"/>
  <c r="U59" i="2" s="1"/>
  <c r="V58" i="2"/>
  <c r="V59" i="2" s="1"/>
  <c r="W52" i="2"/>
  <c r="L52" i="2"/>
  <c r="W44" i="2"/>
  <c r="L44" i="2"/>
  <c r="W68" i="2"/>
  <c r="L68" i="2"/>
  <c r="W60" i="2"/>
  <c r="L60" i="2"/>
  <c r="W48" i="2"/>
  <c r="L48" i="2"/>
  <c r="W40" i="2"/>
  <c r="L40" i="2"/>
  <c r="W72" i="2"/>
  <c r="L72" i="2"/>
  <c r="W80" i="2"/>
  <c r="L80" i="2"/>
  <c r="W36" i="2"/>
  <c r="L36" i="2"/>
  <c r="W28" i="2"/>
  <c r="L28" i="2"/>
  <c r="W8" i="2"/>
  <c r="W16" i="2"/>
  <c r="L16" i="2"/>
  <c r="W64" i="2"/>
  <c r="L64" i="2"/>
  <c r="W56" i="2"/>
  <c r="L56" i="2"/>
  <c r="W84" i="2"/>
  <c r="L84" i="2"/>
  <c r="W76" i="2"/>
  <c r="L76" i="2"/>
  <c r="W32" i="2"/>
  <c r="L32" i="2"/>
  <c r="W24" i="2"/>
  <c r="L24" i="2"/>
  <c r="W12" i="2"/>
  <c r="L12" i="2"/>
  <c r="W20" i="2"/>
  <c r="L20" i="2"/>
  <c r="H177" i="2"/>
  <c r="N177" i="2"/>
  <c r="R177" i="2"/>
  <c r="C54" i="2"/>
  <c r="C55" i="2" s="1"/>
  <c r="D54" i="2"/>
  <c r="D55" i="2" s="1"/>
  <c r="E54" i="2"/>
  <c r="E55" i="2" s="1"/>
  <c r="F54" i="2"/>
  <c r="F55" i="2" s="1"/>
  <c r="G54" i="2"/>
  <c r="G55" i="2" s="1"/>
  <c r="H54" i="2"/>
  <c r="H55" i="2" s="1"/>
  <c r="I54" i="2"/>
  <c r="I55" i="2" s="1"/>
  <c r="J54" i="2"/>
  <c r="J55" i="2" s="1"/>
  <c r="K54" i="2"/>
  <c r="K55" i="2" s="1"/>
  <c r="N54" i="2"/>
  <c r="N55" i="2" s="1"/>
  <c r="O54" i="2"/>
  <c r="O55" i="2" s="1"/>
  <c r="P54" i="2"/>
  <c r="P55" i="2" s="1"/>
  <c r="Q54" i="2"/>
  <c r="Q55" i="2" s="1"/>
  <c r="R54" i="2"/>
  <c r="S54" i="2"/>
  <c r="S55" i="2" s="1"/>
  <c r="T54" i="2"/>
  <c r="T55" i="2" s="1"/>
  <c r="U54" i="2"/>
  <c r="U55" i="2" s="1"/>
  <c r="V54" i="2"/>
  <c r="V55" i="2" s="1"/>
  <c r="C50" i="2"/>
  <c r="C51" i="2" s="1"/>
  <c r="D50" i="2"/>
  <c r="D51" i="2" s="1"/>
  <c r="E50" i="2"/>
  <c r="E51" i="2" s="1"/>
  <c r="F50" i="2"/>
  <c r="F51" i="2" s="1"/>
  <c r="G50" i="2"/>
  <c r="G51" i="2" s="1"/>
  <c r="H50" i="2"/>
  <c r="H51" i="2" s="1"/>
  <c r="I50" i="2"/>
  <c r="I51" i="2" s="1"/>
  <c r="J50" i="2"/>
  <c r="J51" i="2" s="1"/>
  <c r="K50" i="2"/>
  <c r="K51" i="2" s="1"/>
  <c r="N50" i="2"/>
  <c r="N51" i="2" s="1"/>
  <c r="O50" i="2"/>
  <c r="O51" i="2" s="1"/>
  <c r="P50" i="2"/>
  <c r="P51" i="2" s="1"/>
  <c r="Q50" i="2"/>
  <c r="Q51" i="2" s="1"/>
  <c r="R50" i="2"/>
  <c r="R51" i="2" s="1"/>
  <c r="S50" i="2"/>
  <c r="S51" i="2" s="1"/>
  <c r="T50" i="2"/>
  <c r="T51" i="2" s="1"/>
  <c r="U50" i="2"/>
  <c r="U51" i="2" s="1"/>
  <c r="V50" i="2"/>
  <c r="V51" i="2" s="1"/>
  <c r="C46" i="2"/>
  <c r="C47" i="2" s="1"/>
  <c r="D46" i="2"/>
  <c r="D47" i="2" s="1"/>
  <c r="E46" i="2"/>
  <c r="E47" i="2" s="1"/>
  <c r="F46" i="2"/>
  <c r="F47" i="2" s="1"/>
  <c r="G46" i="2"/>
  <c r="G47" i="2" s="1"/>
  <c r="H46" i="2"/>
  <c r="H47" i="2" s="1"/>
  <c r="I46" i="2"/>
  <c r="I47" i="2" s="1"/>
  <c r="J46" i="2"/>
  <c r="J47" i="2" s="1"/>
  <c r="K46" i="2"/>
  <c r="K47" i="2" s="1"/>
  <c r="N46" i="2"/>
  <c r="N47" i="2" s="1"/>
  <c r="O46" i="2"/>
  <c r="O47" i="2" s="1"/>
  <c r="P46" i="2"/>
  <c r="P47" i="2" s="1"/>
  <c r="Q46" i="2"/>
  <c r="Q47" i="2" s="1"/>
  <c r="R46" i="2"/>
  <c r="R47" i="2" s="1"/>
  <c r="S46" i="2"/>
  <c r="S47" i="2" s="1"/>
  <c r="T46" i="2"/>
  <c r="T47" i="2" s="1"/>
  <c r="U46" i="2"/>
  <c r="U47" i="2" s="1"/>
  <c r="V46" i="2"/>
  <c r="V47" i="2" s="1"/>
  <c r="C82" i="2"/>
  <c r="C83" i="2" s="1"/>
  <c r="D82" i="2"/>
  <c r="D83" i="2" s="1"/>
  <c r="E82" i="2"/>
  <c r="F82" i="2"/>
  <c r="F83" i="2" s="1"/>
  <c r="G82" i="2"/>
  <c r="G83" i="2" s="1"/>
  <c r="H82" i="2"/>
  <c r="H83" i="2" s="1"/>
  <c r="I82" i="2"/>
  <c r="I83" i="2" s="1"/>
  <c r="J82" i="2"/>
  <c r="J83" i="2" s="1"/>
  <c r="K82" i="2"/>
  <c r="K83" i="2" s="1"/>
  <c r="N82" i="2"/>
  <c r="N83" i="2" s="1"/>
  <c r="O82" i="2"/>
  <c r="O83" i="2" s="1"/>
  <c r="P82" i="2"/>
  <c r="P83" i="2" s="1"/>
  <c r="Q82" i="2"/>
  <c r="Q83" i="2" s="1"/>
  <c r="R82" i="2"/>
  <c r="R83" i="2" s="1"/>
  <c r="S82" i="2"/>
  <c r="S83" i="2" s="1"/>
  <c r="T82" i="2"/>
  <c r="T83" i="2" s="1"/>
  <c r="U82" i="2"/>
  <c r="U83" i="2" s="1"/>
  <c r="V82" i="2"/>
  <c r="C78" i="2"/>
  <c r="C79" i="2" s="1"/>
  <c r="D78" i="2"/>
  <c r="D79" i="2" s="1"/>
  <c r="E78" i="2"/>
  <c r="E79" i="2" s="1"/>
  <c r="F78" i="2"/>
  <c r="F79" i="2" s="1"/>
  <c r="G78" i="2"/>
  <c r="G79" i="2" s="1"/>
  <c r="H78" i="2"/>
  <c r="H79" i="2" s="1"/>
  <c r="I78" i="2"/>
  <c r="I79" i="2" s="1"/>
  <c r="J78" i="2"/>
  <c r="J79" i="2" s="1"/>
  <c r="K78" i="2"/>
  <c r="K79" i="2" s="1"/>
  <c r="N78" i="2"/>
  <c r="N79" i="2" s="1"/>
  <c r="O78" i="2"/>
  <c r="O79" i="2" s="1"/>
  <c r="P78" i="2"/>
  <c r="P79" i="2" s="1"/>
  <c r="Q78" i="2"/>
  <c r="Q79" i="2" s="1"/>
  <c r="R78" i="2"/>
  <c r="R79" i="2" s="1"/>
  <c r="S78" i="2"/>
  <c r="S79" i="2" s="1"/>
  <c r="T78" i="2"/>
  <c r="T79" i="2" s="1"/>
  <c r="U78" i="2"/>
  <c r="U79" i="2" s="1"/>
  <c r="V78" i="2"/>
  <c r="V79" i="2" s="1"/>
  <c r="C42" i="2"/>
  <c r="C43" i="2" s="1"/>
  <c r="D42" i="2"/>
  <c r="D43" i="2" s="1"/>
  <c r="E42" i="2"/>
  <c r="E43" i="2" s="1"/>
  <c r="F42" i="2"/>
  <c r="F43" i="2" s="1"/>
  <c r="G42" i="2"/>
  <c r="G43" i="2" s="1"/>
  <c r="H42" i="2"/>
  <c r="H43" i="2" s="1"/>
  <c r="I42" i="2"/>
  <c r="I43" i="2" s="1"/>
  <c r="J42" i="2"/>
  <c r="J43" i="2" s="1"/>
  <c r="K42" i="2"/>
  <c r="K43" i="2" s="1"/>
  <c r="N42" i="2"/>
  <c r="N43" i="2" s="1"/>
  <c r="O42" i="2"/>
  <c r="O43" i="2" s="1"/>
  <c r="P42" i="2"/>
  <c r="P43" i="2" s="1"/>
  <c r="Q42" i="2"/>
  <c r="Q43" i="2" s="1"/>
  <c r="R42" i="2"/>
  <c r="R43" i="2" s="1"/>
  <c r="S42" i="2"/>
  <c r="S43" i="2" s="1"/>
  <c r="T42" i="2"/>
  <c r="T43" i="2" s="1"/>
  <c r="U42" i="2"/>
  <c r="U43" i="2" s="1"/>
  <c r="V42" i="2"/>
  <c r="V43" i="2" s="1"/>
  <c r="E26" i="4"/>
  <c r="E27" i="4"/>
  <c r="E28" i="4"/>
  <c r="E29" i="4"/>
  <c r="C70" i="2"/>
  <c r="C71" i="2" s="1"/>
  <c r="D70" i="2"/>
  <c r="D71" i="2" s="1"/>
  <c r="E70" i="2"/>
  <c r="E71" i="2" s="1"/>
  <c r="F70" i="2"/>
  <c r="F71" i="2" s="1"/>
  <c r="G70" i="2"/>
  <c r="G71" i="2" s="1"/>
  <c r="H70" i="2"/>
  <c r="H71" i="2" s="1"/>
  <c r="I70" i="2"/>
  <c r="I71" i="2" s="1"/>
  <c r="J70" i="2"/>
  <c r="J71" i="2" s="1"/>
  <c r="K70" i="2"/>
  <c r="K71" i="2" s="1"/>
  <c r="N70" i="2"/>
  <c r="N71" i="2" s="1"/>
  <c r="O70" i="2"/>
  <c r="O71" i="2" s="1"/>
  <c r="P70" i="2"/>
  <c r="P71" i="2" s="1"/>
  <c r="Q70" i="2"/>
  <c r="Q71" i="2" s="1"/>
  <c r="R70" i="2"/>
  <c r="S70" i="2"/>
  <c r="S71" i="2" s="1"/>
  <c r="T70" i="2"/>
  <c r="T71" i="2" s="1"/>
  <c r="U70" i="2"/>
  <c r="U71" i="2" s="1"/>
  <c r="V70" i="2"/>
  <c r="V71" i="2" s="1"/>
  <c r="C66" i="2"/>
  <c r="C67" i="2" s="1"/>
  <c r="D66" i="2"/>
  <c r="D67" i="2" s="1"/>
  <c r="E66" i="2"/>
  <c r="E67" i="2" s="1"/>
  <c r="F66" i="2"/>
  <c r="F67" i="2" s="1"/>
  <c r="G66" i="2"/>
  <c r="G67" i="2" s="1"/>
  <c r="H66" i="2"/>
  <c r="H67" i="2" s="1"/>
  <c r="I66" i="2"/>
  <c r="I67" i="2" s="1"/>
  <c r="J66" i="2"/>
  <c r="J67" i="2" s="1"/>
  <c r="K66" i="2"/>
  <c r="K67" i="2" s="1"/>
  <c r="N66" i="2"/>
  <c r="N67" i="2" s="1"/>
  <c r="O66" i="2"/>
  <c r="O67" i="2" s="1"/>
  <c r="P66" i="2"/>
  <c r="P67" i="2" s="1"/>
  <c r="Q66" i="2"/>
  <c r="Q67" i="2" s="1"/>
  <c r="R66" i="2"/>
  <c r="R67" i="2" s="1"/>
  <c r="S66" i="2"/>
  <c r="S67" i="2" s="1"/>
  <c r="T66" i="2"/>
  <c r="T67" i="2" s="1"/>
  <c r="U66" i="2"/>
  <c r="U67" i="2" s="1"/>
  <c r="V66" i="2"/>
  <c r="V67" i="2" s="1"/>
  <c r="C62" i="2"/>
  <c r="D62" i="2"/>
  <c r="D63" i="2" s="1"/>
  <c r="E62" i="2"/>
  <c r="E63" i="2" s="1"/>
  <c r="F62" i="2"/>
  <c r="F63" i="2" s="1"/>
  <c r="G62" i="2"/>
  <c r="G63" i="2" s="1"/>
  <c r="H62" i="2"/>
  <c r="H63" i="2" s="1"/>
  <c r="I62" i="2"/>
  <c r="I63" i="2" s="1"/>
  <c r="J62" i="2"/>
  <c r="J63" i="2" s="1"/>
  <c r="K62" i="2"/>
  <c r="K63" i="2" s="1"/>
  <c r="N62" i="2"/>
  <c r="N63" i="2" s="1"/>
  <c r="O62" i="2"/>
  <c r="O63" i="2" s="1"/>
  <c r="P62" i="2"/>
  <c r="P63" i="2" s="1"/>
  <c r="Q62" i="2"/>
  <c r="Q63" i="2" s="1"/>
  <c r="R62" i="2"/>
  <c r="R63" i="2" s="1"/>
  <c r="S62" i="2"/>
  <c r="S63" i="2" s="1"/>
  <c r="T62" i="2"/>
  <c r="T63" i="2" s="1"/>
  <c r="U62" i="2"/>
  <c r="U63" i="2" s="1"/>
  <c r="V62" i="2"/>
  <c r="V63" i="2" s="1"/>
  <c r="C38" i="2"/>
  <c r="C39" i="2" s="1"/>
  <c r="D38" i="2"/>
  <c r="D39" i="2" s="1"/>
  <c r="E38" i="2"/>
  <c r="E39" i="2" s="1"/>
  <c r="F38" i="2"/>
  <c r="F39" i="2" s="1"/>
  <c r="G38" i="2"/>
  <c r="G39" i="2" s="1"/>
  <c r="H38" i="2"/>
  <c r="H39" i="2" s="1"/>
  <c r="I38" i="2"/>
  <c r="I39" i="2" s="1"/>
  <c r="J38" i="2"/>
  <c r="J39" i="2" s="1"/>
  <c r="K38" i="2"/>
  <c r="K39" i="2" s="1"/>
  <c r="N38" i="2"/>
  <c r="N39" i="2" s="1"/>
  <c r="O38" i="2"/>
  <c r="O39" i="2" s="1"/>
  <c r="P38" i="2"/>
  <c r="P39" i="2" s="1"/>
  <c r="Q38" i="2"/>
  <c r="Q39" i="2" s="1"/>
  <c r="R38" i="2"/>
  <c r="R39" i="2" s="1"/>
  <c r="S38" i="2"/>
  <c r="S39" i="2" s="1"/>
  <c r="T38" i="2"/>
  <c r="T39" i="2" s="1"/>
  <c r="U38" i="2"/>
  <c r="U39" i="2" s="1"/>
  <c r="V38" i="2"/>
  <c r="V39" i="2" s="1"/>
  <c r="C34" i="2"/>
  <c r="D34" i="2"/>
  <c r="D35" i="2" s="1"/>
  <c r="E34" i="2"/>
  <c r="E35" i="2" s="1"/>
  <c r="F34" i="2"/>
  <c r="F35" i="2" s="1"/>
  <c r="G34" i="2"/>
  <c r="G35" i="2" s="1"/>
  <c r="H34" i="2"/>
  <c r="H35" i="2" s="1"/>
  <c r="I34" i="2"/>
  <c r="I35" i="2" s="1"/>
  <c r="J34" i="2"/>
  <c r="J35" i="2" s="1"/>
  <c r="K34" i="2"/>
  <c r="K35" i="2" s="1"/>
  <c r="N34" i="2"/>
  <c r="N35" i="2" s="1"/>
  <c r="O34" i="2"/>
  <c r="O35" i="2" s="1"/>
  <c r="P34" i="2"/>
  <c r="P35" i="2" s="1"/>
  <c r="Q34" i="2"/>
  <c r="Q35" i="2" s="1"/>
  <c r="R34" i="2"/>
  <c r="R35" i="2" s="1"/>
  <c r="S34" i="2"/>
  <c r="S35" i="2" s="1"/>
  <c r="T34" i="2"/>
  <c r="T35" i="2" s="1"/>
  <c r="U34" i="2"/>
  <c r="U35" i="2" s="1"/>
  <c r="V34" i="2"/>
  <c r="V35" i="2" s="1"/>
  <c r="C30" i="2"/>
  <c r="C31" i="2" s="1"/>
  <c r="D30" i="2"/>
  <c r="E30" i="2"/>
  <c r="E31" i="2" s="1"/>
  <c r="F30" i="2"/>
  <c r="F31" i="2" s="1"/>
  <c r="G30" i="2"/>
  <c r="G31" i="2" s="1"/>
  <c r="H30" i="2"/>
  <c r="H31" i="2" s="1"/>
  <c r="I30" i="2"/>
  <c r="I31" i="2" s="1"/>
  <c r="J30" i="2"/>
  <c r="J31" i="2" s="1"/>
  <c r="K30" i="2"/>
  <c r="K31" i="2" s="1"/>
  <c r="N30" i="2"/>
  <c r="N31" i="2" s="1"/>
  <c r="O30" i="2"/>
  <c r="O31" i="2" s="1"/>
  <c r="P30" i="2"/>
  <c r="P31" i="2" s="1"/>
  <c r="Q30" i="2"/>
  <c r="Q31" i="2" s="1"/>
  <c r="R30" i="2"/>
  <c r="R31" i="2" s="1"/>
  <c r="S30" i="2"/>
  <c r="S31" i="2" s="1"/>
  <c r="T30" i="2"/>
  <c r="T31" i="2" s="1"/>
  <c r="U30" i="2"/>
  <c r="U31" i="2" s="1"/>
  <c r="V30" i="2"/>
  <c r="V31" i="2" s="1"/>
  <c r="C26" i="2"/>
  <c r="D26" i="2"/>
  <c r="D27" i="2" s="1"/>
  <c r="E26" i="2"/>
  <c r="E27" i="2" s="1"/>
  <c r="F26" i="2"/>
  <c r="F27" i="2" s="1"/>
  <c r="G26" i="2"/>
  <c r="G27" i="2" s="1"/>
  <c r="H26" i="2"/>
  <c r="H27" i="2" s="1"/>
  <c r="I26" i="2"/>
  <c r="I27" i="2" s="1"/>
  <c r="J26" i="2"/>
  <c r="J27" i="2" s="1"/>
  <c r="K26" i="2"/>
  <c r="K27" i="2" s="1"/>
  <c r="N26" i="2"/>
  <c r="N27" i="2" s="1"/>
  <c r="O26" i="2"/>
  <c r="O27" i="2" s="1"/>
  <c r="P26" i="2"/>
  <c r="P27" i="2" s="1"/>
  <c r="Q26" i="2"/>
  <c r="Q27" i="2" s="1"/>
  <c r="R26" i="2"/>
  <c r="R27" i="2" s="1"/>
  <c r="S26" i="2"/>
  <c r="S27" i="2" s="1"/>
  <c r="T26" i="2"/>
  <c r="T27" i="2" s="1"/>
  <c r="U26" i="2"/>
  <c r="U27" i="2" s="1"/>
  <c r="V26" i="2"/>
  <c r="V27" i="2" s="1"/>
  <c r="W33" i="2"/>
  <c r="L85" i="2"/>
  <c r="W85" i="2"/>
  <c r="L81" i="2"/>
  <c r="W81" i="2"/>
  <c r="L77" i="2"/>
  <c r="W77" i="2"/>
  <c r="L73" i="2"/>
  <c r="W73" i="2"/>
  <c r="L95" i="2"/>
  <c r="W95" i="2"/>
  <c r="L96" i="2"/>
  <c r="W96" i="2"/>
  <c r="E24" i="4"/>
  <c r="E23" i="4"/>
  <c r="E22" i="4"/>
  <c r="E21" i="4"/>
  <c r="E19" i="4"/>
  <c r="E16" i="4"/>
  <c r="E17" i="4"/>
  <c r="E18" i="4"/>
  <c r="E14" i="4"/>
  <c r="E13" i="4"/>
  <c r="E12" i="4"/>
  <c r="E11" i="4"/>
  <c r="E9" i="4"/>
  <c r="E6" i="4"/>
  <c r="E7" i="4"/>
  <c r="E8" i="4"/>
  <c r="W69" i="2"/>
  <c r="L69" i="2"/>
  <c r="W65" i="2"/>
  <c r="L65" i="2"/>
  <c r="W61" i="2"/>
  <c r="L61" i="2"/>
  <c r="W57" i="2"/>
  <c r="L57" i="2"/>
  <c r="W53" i="2"/>
  <c r="L53" i="2"/>
  <c r="W49" i="2"/>
  <c r="L49" i="2"/>
  <c r="W45" i="2"/>
  <c r="L45" i="2"/>
  <c r="W41" i="2"/>
  <c r="L41" i="2"/>
  <c r="L37" i="2"/>
  <c r="W37" i="2"/>
  <c r="L33" i="2"/>
  <c r="L29" i="2"/>
  <c r="W29" i="2"/>
  <c r="L25" i="2"/>
  <c r="W25" i="2"/>
  <c r="L21" i="2"/>
  <c r="W21" i="2"/>
  <c r="L17" i="2"/>
  <c r="W17" i="2"/>
  <c r="L13" i="2"/>
  <c r="W13" i="2"/>
  <c r="L9" i="2"/>
  <c r="W9" i="2"/>
  <c r="W6" i="2"/>
  <c r="L6" i="2"/>
  <c r="W5" i="2"/>
  <c r="L5" i="2"/>
  <c r="X114" i="2" l="1"/>
  <c r="X123" i="2"/>
  <c r="X32" i="2"/>
  <c r="X37" i="2"/>
  <c r="X33" i="2"/>
  <c r="X166" i="2"/>
  <c r="X175" i="2"/>
  <c r="X171" i="2"/>
  <c r="X163" i="2"/>
  <c r="X107" i="2"/>
  <c r="X103" i="2"/>
  <c r="X122" i="2"/>
  <c r="W164" i="2"/>
  <c r="X131" i="2"/>
  <c r="X126" i="2"/>
  <c r="X118" i="2"/>
  <c r="X115" i="2"/>
  <c r="X102" i="2"/>
  <c r="X44" i="2"/>
  <c r="X21" i="2"/>
  <c r="X127" i="2"/>
  <c r="X25" i="2"/>
  <c r="X151" i="2"/>
  <c r="X64" i="2"/>
  <c r="X28" i="2"/>
  <c r="X52" i="2"/>
  <c r="E30" i="4"/>
  <c r="X24" i="2"/>
  <c r="X36" i="2"/>
  <c r="X68" i="2"/>
  <c r="X135" i="2"/>
  <c r="L120" i="2"/>
  <c r="L30" i="2"/>
  <c r="X110" i="2"/>
  <c r="X119" i="2"/>
  <c r="X155" i="2"/>
  <c r="E10" i="4"/>
  <c r="L38" i="2"/>
  <c r="X53" i="2"/>
  <c r="W120" i="2"/>
  <c r="L26" i="2"/>
  <c r="X48" i="2"/>
  <c r="E25" i="4"/>
  <c r="L34" i="2"/>
  <c r="X29" i="2"/>
  <c r="W34" i="2"/>
  <c r="X45" i="2"/>
  <c r="D31" i="2"/>
  <c r="L31" i="2" s="1"/>
  <c r="X72" i="2"/>
  <c r="X138" i="2"/>
  <c r="L82" i="2"/>
  <c r="L128" i="2"/>
  <c r="X76" i="2"/>
  <c r="L104" i="2"/>
  <c r="X143" i="2"/>
  <c r="X142" i="2"/>
  <c r="X134" i="2"/>
  <c r="W136" i="2"/>
  <c r="L137" i="2"/>
  <c r="X170" i="2"/>
  <c r="W172" i="2"/>
  <c r="W173" i="2"/>
  <c r="X162" i="2"/>
  <c r="W165" i="2"/>
  <c r="L165" i="2"/>
  <c r="L164" i="2"/>
  <c r="L176" i="2"/>
  <c r="W168" i="2"/>
  <c r="W153" i="2"/>
  <c r="W152" i="2"/>
  <c r="X150" i="2"/>
  <c r="L152" i="2"/>
  <c r="W160" i="2"/>
  <c r="X158" i="2"/>
  <c r="W104" i="2"/>
  <c r="L112" i="2"/>
  <c r="X154" i="2"/>
  <c r="W156" i="2"/>
  <c r="L156" i="2"/>
  <c r="X146" i="2"/>
  <c r="L140" i="2"/>
  <c r="X130" i="2"/>
  <c r="L132" i="2"/>
  <c r="X106" i="2"/>
  <c r="L108" i="2"/>
  <c r="X98" i="2"/>
  <c r="X80" i="2"/>
  <c r="E83" i="2"/>
  <c r="L83" i="2" s="1"/>
  <c r="X60" i="2"/>
  <c r="X56" i="2"/>
  <c r="W58" i="2"/>
  <c r="L58" i="2"/>
  <c r="X40" i="2"/>
  <c r="X20" i="2"/>
  <c r="E20" i="4"/>
  <c r="E15" i="4"/>
  <c r="O157" i="2"/>
  <c r="W157" i="2" s="1"/>
  <c r="W176" i="2"/>
  <c r="W177" i="2"/>
  <c r="X174" i="2"/>
  <c r="L177" i="2"/>
  <c r="L172" i="2"/>
  <c r="L173" i="2"/>
  <c r="W169" i="2"/>
  <c r="L168" i="2"/>
  <c r="L153" i="2"/>
  <c r="W144" i="2"/>
  <c r="W140" i="2"/>
  <c r="W137" i="2"/>
  <c r="L136" i="2"/>
  <c r="W133" i="2"/>
  <c r="W132" i="2"/>
  <c r="L133" i="2"/>
  <c r="W112" i="2"/>
  <c r="L113" i="2"/>
  <c r="L109" i="2"/>
  <c r="O105" i="2"/>
  <c r="W105" i="2" s="1"/>
  <c r="C105" i="2"/>
  <c r="L105" i="2" s="1"/>
  <c r="X84" i="2"/>
  <c r="L86" i="2"/>
  <c r="W82" i="2"/>
  <c r="W78" i="2"/>
  <c r="L78" i="2"/>
  <c r="L54" i="2"/>
  <c r="X16" i="2"/>
  <c r="L18" i="2"/>
  <c r="X12" i="2"/>
  <c r="L14" i="2"/>
  <c r="X8" i="2"/>
  <c r="L169" i="2"/>
  <c r="X167" i="2"/>
  <c r="W161" i="2"/>
  <c r="X159" i="2"/>
  <c r="L160" i="2"/>
  <c r="L161" i="2"/>
  <c r="L157" i="2"/>
  <c r="X147" i="2"/>
  <c r="W148" i="2"/>
  <c r="W149" i="2"/>
  <c r="L148" i="2"/>
  <c r="F149" i="2"/>
  <c r="L149" i="2" s="1"/>
  <c r="V145" i="2"/>
  <c r="W145" i="2" s="1"/>
  <c r="L145" i="2"/>
  <c r="L144" i="2"/>
  <c r="X139" i="2"/>
  <c r="W141" i="2"/>
  <c r="L141" i="2"/>
  <c r="W113" i="2"/>
  <c r="X111" i="2"/>
  <c r="W109" i="2"/>
  <c r="W108" i="2"/>
  <c r="W100" i="2"/>
  <c r="W101" i="2"/>
  <c r="X99" i="2"/>
  <c r="L100" i="2"/>
  <c r="D101" i="2"/>
  <c r="L101" i="2" s="1"/>
  <c r="L125" i="2"/>
  <c r="L117" i="2"/>
  <c r="W117" i="2"/>
  <c r="W121" i="2"/>
  <c r="W125" i="2"/>
  <c r="W129" i="2"/>
  <c r="L121" i="2"/>
  <c r="W128" i="2"/>
  <c r="L116" i="2"/>
  <c r="K129" i="2"/>
  <c r="L129" i="2" s="1"/>
  <c r="W116" i="2"/>
  <c r="W124" i="2"/>
  <c r="L124" i="2"/>
  <c r="W86" i="2"/>
  <c r="X85" i="2"/>
  <c r="W87" i="2"/>
  <c r="L87" i="2"/>
  <c r="V83" i="2"/>
  <c r="W83" i="2" s="1"/>
  <c r="X81" i="2"/>
  <c r="X77" i="2"/>
  <c r="W79" i="2"/>
  <c r="W74" i="2"/>
  <c r="X73" i="2"/>
  <c r="L75" i="2"/>
  <c r="L74" i="2"/>
  <c r="W70" i="2"/>
  <c r="R71" i="2"/>
  <c r="W71" i="2" s="1"/>
  <c r="X69" i="2"/>
  <c r="L70" i="2"/>
  <c r="W66" i="2"/>
  <c r="X65" i="2"/>
  <c r="L66" i="2"/>
  <c r="W62" i="2"/>
  <c r="X61" i="2"/>
  <c r="L62" i="2"/>
  <c r="C63" i="2"/>
  <c r="L63" i="2" s="1"/>
  <c r="X57" i="2"/>
  <c r="W54" i="2"/>
  <c r="R55" i="2"/>
  <c r="W55" i="2" s="1"/>
  <c r="L55" i="2"/>
  <c r="W50" i="2"/>
  <c r="W51" i="2"/>
  <c r="X49" i="2"/>
  <c r="L50" i="2"/>
  <c r="W46" i="2"/>
  <c r="L46" i="2"/>
  <c r="X41" i="2"/>
  <c r="W43" i="2"/>
  <c r="W42" i="2"/>
  <c r="L42" i="2"/>
  <c r="L43" i="2"/>
  <c r="W22" i="2"/>
  <c r="L22" i="2"/>
  <c r="W18" i="2"/>
  <c r="W19" i="2"/>
  <c r="X17" i="2"/>
  <c r="L19" i="2"/>
  <c r="X13" i="2"/>
  <c r="W14" i="2"/>
  <c r="W10" i="2"/>
  <c r="X9" i="2"/>
  <c r="W11" i="2"/>
  <c r="L11" i="2"/>
  <c r="L10" i="2"/>
  <c r="W75" i="2"/>
  <c r="W63" i="2"/>
  <c r="W67" i="2"/>
  <c r="W47" i="2"/>
  <c r="W59" i="2"/>
  <c r="W35" i="2"/>
  <c r="W23" i="2"/>
  <c r="W15" i="2"/>
  <c r="L71" i="2"/>
  <c r="L51" i="2"/>
  <c r="L15" i="2"/>
  <c r="L59" i="2"/>
  <c r="L23" i="2"/>
  <c r="L67" i="2"/>
  <c r="L79" i="2"/>
  <c r="L47" i="2"/>
  <c r="L39" i="2"/>
  <c r="W27" i="2"/>
  <c r="W31" i="2"/>
  <c r="W39" i="2"/>
  <c r="W26" i="2"/>
  <c r="W38" i="2"/>
  <c r="C35" i="2"/>
  <c r="L35" i="2" s="1"/>
  <c r="C27" i="2"/>
  <c r="L27" i="2" s="1"/>
  <c r="W30" i="2"/>
  <c r="X153" i="2" l="1"/>
  <c r="K13" i="1" s="1"/>
  <c r="X58" i="2"/>
  <c r="X168" i="2"/>
  <c r="X104" i="2"/>
  <c r="X137" i="2"/>
  <c r="C13" i="1" s="1"/>
  <c r="X176" i="2"/>
  <c r="X152" i="2"/>
  <c r="X172" i="2"/>
  <c r="X164" i="2"/>
  <c r="X128" i="2"/>
  <c r="X124" i="2"/>
  <c r="X121" i="2"/>
  <c r="O13" i="1" s="1"/>
  <c r="X120" i="2"/>
  <c r="X78" i="2"/>
  <c r="X26" i="2"/>
  <c r="X30" i="2"/>
  <c r="X38" i="2"/>
  <c r="X117" i="2"/>
  <c r="N13" i="1" s="1"/>
  <c r="X132" i="2"/>
  <c r="X82" i="2"/>
  <c r="X165" i="2"/>
  <c r="R13" i="1" s="1"/>
  <c r="X144" i="2"/>
  <c r="X112" i="2"/>
  <c r="X34" i="2"/>
  <c r="X140" i="2"/>
  <c r="X136" i="2"/>
  <c r="X173" i="2"/>
  <c r="T13" i="1" s="1"/>
  <c r="S13" i="1"/>
  <c r="X160" i="2"/>
  <c r="X113" i="2"/>
  <c r="I13" i="1" s="1"/>
  <c r="X156" i="2"/>
  <c r="X148" i="2"/>
  <c r="X108" i="2"/>
  <c r="X109" i="2"/>
  <c r="H13" i="1" s="1"/>
  <c r="X50" i="2"/>
  <c r="X157" i="2"/>
  <c r="L13" i="1" s="1"/>
  <c r="X177" i="2"/>
  <c r="U13" i="1" s="1"/>
  <c r="X133" i="2"/>
  <c r="B13" i="1" s="1"/>
  <c r="X105" i="2"/>
  <c r="G13" i="1" s="1"/>
  <c r="X86" i="2"/>
  <c r="X87" i="2"/>
  <c r="X54" i="2"/>
  <c r="X22" i="2"/>
  <c r="X23" i="2"/>
  <c r="I14" i="1" s="1"/>
  <c r="X18" i="2"/>
  <c r="X14" i="2"/>
  <c r="X161" i="2"/>
  <c r="M13" i="1" s="1"/>
  <c r="X149" i="2"/>
  <c r="J13" i="1" s="1"/>
  <c r="X145" i="2"/>
  <c r="E13" i="1" s="1"/>
  <c r="X141" i="2"/>
  <c r="D13" i="1" s="1"/>
  <c r="X100" i="2"/>
  <c r="X101" i="2"/>
  <c r="F13" i="1" s="1"/>
  <c r="X129" i="2"/>
  <c r="Q13" i="1" s="1"/>
  <c r="X125" i="2"/>
  <c r="P13" i="1" s="1"/>
  <c r="X116" i="2"/>
  <c r="X79" i="2"/>
  <c r="X74" i="2"/>
  <c r="X75" i="2"/>
  <c r="X70" i="2"/>
  <c r="X71" i="2"/>
  <c r="M14" i="1" s="1"/>
  <c r="X66" i="2"/>
  <c r="X62" i="2"/>
  <c r="X55" i="2"/>
  <c r="E14" i="1" s="1"/>
  <c r="X51" i="2"/>
  <c r="X46" i="2"/>
  <c r="X47" i="2"/>
  <c r="X43" i="2"/>
  <c r="B14" i="1" s="1"/>
  <c r="X42" i="2"/>
  <c r="X19" i="2"/>
  <c r="X11" i="2"/>
  <c r="F14" i="1" s="1"/>
  <c r="X10" i="2"/>
  <c r="X15" i="2"/>
  <c r="G14" i="1" s="1"/>
  <c r="X67" i="2"/>
  <c r="X63" i="2"/>
  <c r="X83" i="2"/>
  <c r="X59" i="2"/>
  <c r="J14" i="1" s="1"/>
  <c r="X35" i="2"/>
  <c r="P14" i="1" s="1"/>
  <c r="X27" i="2"/>
  <c r="N14" i="1" s="1"/>
  <c r="X31" i="2"/>
  <c r="O14" i="1" s="1"/>
  <c r="X39" i="2"/>
  <c r="Q14" i="1" s="1"/>
  <c r="O24" i="1" l="1"/>
  <c r="D12" i="3" s="1"/>
  <c r="N24" i="1"/>
  <c r="I24" i="1"/>
  <c r="D16" i="3" s="1"/>
  <c r="Q24" i="1"/>
  <c r="D17" i="3" s="1"/>
  <c r="U14" i="1"/>
  <c r="U24" i="1" s="1"/>
  <c r="D10" i="3" s="1"/>
  <c r="T14" i="1"/>
  <c r="T24" i="1" s="1"/>
  <c r="D22" i="3" s="1"/>
  <c r="S14" i="1"/>
  <c r="S24" i="1" s="1"/>
  <c r="D14" i="3" s="1"/>
  <c r="R14" i="1"/>
  <c r="R24" i="1" s="1"/>
  <c r="D11" i="3" s="1"/>
  <c r="L14" i="1"/>
  <c r="L24" i="1" s="1"/>
  <c r="D5" i="3" s="1"/>
  <c r="K14" i="1"/>
  <c r="K24" i="1" s="1"/>
  <c r="D9" i="3" s="1"/>
  <c r="D14" i="1"/>
  <c r="D24" i="1" s="1"/>
  <c r="D15" i="3" s="1"/>
  <c r="C14" i="1"/>
  <c r="C24" i="1" s="1"/>
  <c r="D3" i="3" s="1"/>
  <c r="B24" i="1"/>
  <c r="D6" i="3" s="1"/>
  <c r="H14" i="1"/>
  <c r="H24" i="1" s="1"/>
  <c r="D18" i="3" s="1"/>
  <c r="G24" i="1"/>
  <c r="D20" i="3" s="1"/>
  <c r="M24" i="1"/>
  <c r="D21" i="3" s="1"/>
  <c r="J24" i="1"/>
  <c r="D7" i="3" s="1"/>
  <c r="E24" i="1"/>
  <c r="D4" i="3" s="1"/>
  <c r="F24" i="1"/>
  <c r="D13" i="3" s="1"/>
  <c r="P24" i="1"/>
  <c r="D8" i="3" s="1"/>
  <c r="D19" i="3" l="1"/>
  <c r="R25" i="1"/>
  <c r="J25" i="1"/>
  <c r="B25" i="1"/>
  <c r="F25" i="1"/>
  <c r="N25" i="1"/>
</calcChain>
</file>

<file path=xl/sharedStrings.xml><?xml version="1.0" encoding="utf-8"?>
<sst xmlns="http://schemas.openxmlformats.org/spreadsheetml/2006/main" count="512" uniqueCount="96">
  <si>
    <t>Name</t>
  </si>
  <si>
    <t>Total</t>
  </si>
  <si>
    <t>Gunter</t>
  </si>
  <si>
    <t>x</t>
  </si>
  <si>
    <t>Uncle Joe</t>
  </si>
  <si>
    <t>Tbone</t>
  </si>
  <si>
    <t>Tim</t>
  </si>
  <si>
    <t>Ben</t>
  </si>
  <si>
    <t>Vince</t>
  </si>
  <si>
    <t xml:space="preserve"> </t>
  </si>
  <si>
    <t>Andrew</t>
  </si>
  <si>
    <t>Harvey</t>
  </si>
  <si>
    <t>Tophe</t>
  </si>
  <si>
    <t>Matt F</t>
  </si>
  <si>
    <t>Eli</t>
  </si>
  <si>
    <t>Pete</t>
  </si>
  <si>
    <t>Tom K</t>
  </si>
  <si>
    <t>Tommy</t>
  </si>
  <si>
    <t>Uncle Mike</t>
  </si>
  <si>
    <t>Dan</t>
  </si>
  <si>
    <t xml:space="preserve">Oaks </t>
  </si>
  <si>
    <t>Matt D</t>
  </si>
  <si>
    <t>Trock</t>
  </si>
  <si>
    <t>Jimmy D</t>
  </si>
  <si>
    <t>Gettysburg National Golf Club</t>
  </si>
  <si>
    <t>Friday, August 18th 2022</t>
  </si>
  <si>
    <t>In</t>
  </si>
  <si>
    <t>Out</t>
  </si>
  <si>
    <t>White Tees</t>
  </si>
  <si>
    <t>Yards</t>
  </si>
  <si>
    <t>Par</t>
  </si>
  <si>
    <t>Handicap</t>
  </si>
  <si>
    <t>Gross Score</t>
  </si>
  <si>
    <t>Net Score</t>
  </si>
  <si>
    <t>Points</t>
  </si>
  <si>
    <t>Matt</t>
  </si>
  <si>
    <t>Oaks</t>
  </si>
  <si>
    <t>Frazier</t>
  </si>
  <si>
    <t xml:space="preserve">Trock </t>
  </si>
  <si>
    <t>Jimmy</t>
  </si>
  <si>
    <t>Carroll Valley</t>
  </si>
  <si>
    <t>Saturday, August 19th 2022</t>
  </si>
  <si>
    <t>Team Blue</t>
  </si>
  <si>
    <t>Team White</t>
  </si>
  <si>
    <t>Team Green</t>
  </si>
  <si>
    <t>Team Black</t>
  </si>
  <si>
    <t>Team Orange</t>
  </si>
  <si>
    <t>2022 Carroll Valley Invitational</t>
  </si>
  <si>
    <t>Rocko</t>
  </si>
  <si>
    <t>Golf Points</t>
  </si>
  <si>
    <t>Closest to the Pin (1 points each)</t>
  </si>
  <si>
    <t>Long Drive (1 points each)</t>
  </si>
  <si>
    <t>Chip or Putt In - Fringe Doesn’t Count (2 Points) - 2 Club lengths if on Fairway.</t>
  </si>
  <si>
    <t>Pink Ball Challenge (2 Pts per person each round, 2 total) Tie = Pink Ball Score</t>
  </si>
  <si>
    <t>Best Ball Competition Days 1 &amp; 2 w/ Cart Partner (9,8,7,6,5,4,3,2,1,0)</t>
  </si>
  <si>
    <t>Friday Match Play</t>
  </si>
  <si>
    <t>Saturday Golf - Double Eagles (3), Eagles (1.5) Birdies (.8), Pars (.4)</t>
  </si>
  <si>
    <t>Friday Golf - Double Eagles (3), Eagles (1.5) Birdies (.8), Pars (.4)</t>
  </si>
  <si>
    <t>Saturday Golf - Four-Man Captains Choice (3,2,1,.5 0 for each 9 and overall)</t>
  </si>
  <si>
    <t>Sunday Golf - Two-Man Scramble Team Win (7,6,5,4,3,2,1,0)</t>
  </si>
  <si>
    <t>Hole in One and longest putt (8 pts regular cup, 5 pts big cup, 2 pts long putt)</t>
  </si>
  <si>
    <t>Extra-Curricular Points</t>
  </si>
  <si>
    <t>Poker Friday Heads Up (4,3,2,1 Points)-No for 2019</t>
  </si>
  <si>
    <t>Alternate Hand Poker Friday (3, 1.5 points)-No for 2019</t>
  </si>
  <si>
    <t>Sand Bag Toss (3, 1.5 points)</t>
  </si>
  <si>
    <t>Kan Jam Doubles Saturday (3, 1.5 pts)</t>
  </si>
  <si>
    <t>Final table Poker(5,4,3,2,1)</t>
  </si>
  <si>
    <t>Total Individual Points</t>
  </si>
  <si>
    <t>Total Team Points</t>
  </si>
  <si>
    <t>** Tiebreaker in Best Ball or Captains Choice is best net score on # 1 Handicap and so on</t>
  </si>
  <si>
    <t>Score</t>
  </si>
  <si>
    <t>Strokes</t>
  </si>
  <si>
    <t>Net</t>
  </si>
  <si>
    <t>PAID</t>
  </si>
  <si>
    <t>Blue</t>
  </si>
  <si>
    <t>Tim(5)</t>
  </si>
  <si>
    <t>Matt(11)</t>
  </si>
  <si>
    <t>Ben (11)</t>
  </si>
  <si>
    <t>Bob(16)</t>
  </si>
  <si>
    <t>Green</t>
  </si>
  <si>
    <t>Joe(0)</t>
  </si>
  <si>
    <t>Pete(10)</t>
  </si>
  <si>
    <t>Jim(11)</t>
  </si>
  <si>
    <t>Pat(17)</t>
  </si>
  <si>
    <t>Orange</t>
  </si>
  <si>
    <t>Tophe(9)</t>
  </si>
  <si>
    <t>Matt F(7)</t>
  </si>
  <si>
    <t>Dan(15)</t>
  </si>
  <si>
    <t>Harvey16)</t>
  </si>
  <si>
    <t>White</t>
  </si>
  <si>
    <t>LJ(8)</t>
  </si>
  <si>
    <t>Tbone(11)</t>
  </si>
  <si>
    <t>Tom K(13)</t>
  </si>
  <si>
    <t>Tom W(17)</t>
  </si>
  <si>
    <t>Black</t>
  </si>
  <si>
    <t>Mr. Bob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</si>
</sst>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0">
    <font>
      <sz val="10"/>
      <name val="Verdana"/>
    </font>
    <font>
      <sz val="10"/>
      <name val="Verdana"/>
      <family val="2"/>
    </font>
    <font>
      <sz val="10"/>
      <color indexed="12"/>
      <name val="Verdana"/>
      <family val="2"/>
    </font>
    <font>
      <b/>
      <i/>
      <sz val="14"/>
      <name val="Verdana"/>
      <family val="2"/>
    </font>
    <font>
      <sz val="10"/>
      <name val="Verdana"/>
      <family val="2"/>
    </font>
    <font>
      <b/>
      <sz val="14"/>
      <color indexed="9"/>
      <name val="Verdana"/>
      <family val="2"/>
    </font>
    <font>
      <sz val="14"/>
      <name val="Verdana"/>
      <family val="2"/>
    </font>
    <font>
      <b/>
      <sz val="14"/>
      <name val="Verdana"/>
      <family val="2"/>
    </font>
    <font>
      <b/>
      <sz val="10"/>
      <name val="Verdana"/>
      <family val="2"/>
    </font>
    <font>
      <b/>
      <sz val="10"/>
      <color indexed="9"/>
      <name val="Verdana"/>
      <family val="2"/>
    </font>
    <font>
      <sz val="14"/>
      <color indexed="10"/>
      <name val="Verdana"/>
      <family val="2"/>
    </font>
    <font>
      <sz val="14"/>
      <color indexed="53"/>
      <name val="Verdana"/>
      <family val="2"/>
    </font>
    <font>
      <sz val="10"/>
      <color indexed="9"/>
      <name val="Verdana"/>
      <family val="2"/>
    </font>
    <font>
      <sz val="10"/>
      <color indexed="10"/>
      <name val="Verdana"/>
      <family val="2"/>
    </font>
    <font>
      <b/>
      <sz val="10"/>
      <color indexed="10"/>
      <name val="Verdana"/>
      <family val="2"/>
    </font>
    <font>
      <b/>
      <sz val="24"/>
      <name val="Verdana"/>
      <family val="2"/>
    </font>
    <font>
      <b/>
      <sz val="12"/>
      <name val="Verdana"/>
      <family val="2"/>
    </font>
    <font>
      <sz val="12"/>
      <color indexed="8"/>
      <name val="Verdana"/>
      <family val="2"/>
    </font>
    <font>
      <b/>
      <sz val="16"/>
      <name val="Verdana"/>
      <family val="2"/>
    </font>
    <font>
      <sz val="8"/>
      <name val="Verdana"/>
      <family val="2"/>
    </font>
    <font>
      <sz val="14"/>
      <name val="Verdana"/>
      <family val="2"/>
    </font>
    <font>
      <sz val="11"/>
      <color rgb="FF9C0006"/>
      <name val="Calibri"/>
      <family val="2"/>
      <scheme val="minor"/>
    </font>
    <font>
      <b/>
      <u/>
      <sz val="10"/>
      <name val="Verdana"/>
      <family val="2"/>
    </font>
    <font>
      <u/>
      <sz val="10"/>
      <color theme="11"/>
      <name val="Verdana"/>
      <family val="2"/>
    </font>
    <font>
      <u/>
      <sz val="10"/>
      <color theme="10"/>
      <name val="Verdana"/>
      <family val="2"/>
    </font>
    <font>
      <sz val="10"/>
      <color rgb="FFDD0806"/>
      <name val="Verdana"/>
      <family val="2"/>
    </font>
    <font>
      <sz val="14"/>
      <name val="Calibri"/>
      <family val="2"/>
      <scheme val="minor"/>
    </font>
    <font>
      <b/>
      <sz val="14"/>
      <color theme="0"/>
      <name val="Verdana"/>
      <family val="2"/>
    </font>
    <font>
      <sz val="14"/>
      <color theme="0"/>
      <name val="Verdana"/>
      <family val="2"/>
    </font>
    <font>
      <b/>
      <sz val="10"/>
      <color theme="0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C7CE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8">
    <xf numFmtId="0" fontId="0" fillId="0" borderId="0"/>
    <xf numFmtId="0" fontId="21" fillId="8" borderId="0" applyNumberFormat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10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9" fillId="2" borderId="1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8" fillId="0" borderId="0" xfId="0" applyFont="1"/>
    <xf numFmtId="0" fontId="9" fillId="3" borderId="1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6" fillId="0" borderId="0" xfId="0" applyFont="1" applyAlignment="1">
      <alignment wrapText="1"/>
    </xf>
    <xf numFmtId="0" fontId="6" fillId="5" borderId="1" xfId="0" applyFont="1" applyFill="1" applyBorder="1" applyAlignment="1">
      <alignment horizontal="center" vertical="top" wrapText="1"/>
    </xf>
    <xf numFmtId="0" fontId="10" fillId="0" borderId="0" xfId="0" applyFont="1"/>
    <xf numFmtId="0" fontId="11" fillId="0" borderId="0" xfId="0" applyFont="1"/>
    <xf numFmtId="0" fontId="12" fillId="3" borderId="2" xfId="0" applyFont="1" applyFill="1" applyBorder="1" applyAlignment="1">
      <alignment horizontal="center" wrapText="1"/>
    </xf>
    <xf numFmtId="0" fontId="9" fillId="4" borderId="2" xfId="0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 wrapText="1"/>
    </xf>
    <xf numFmtId="0" fontId="13" fillId="5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13" fillId="0" borderId="0" xfId="0" applyFont="1"/>
    <xf numFmtId="2" fontId="9" fillId="3" borderId="4" xfId="0" applyNumberFormat="1" applyFont="1" applyFill="1" applyBorder="1" applyAlignment="1">
      <alignment horizontal="center"/>
    </xf>
    <xf numFmtId="2" fontId="12" fillId="3" borderId="4" xfId="0" applyNumberFormat="1" applyFont="1" applyFill="1" applyBorder="1"/>
    <xf numFmtId="2" fontId="12" fillId="3" borderId="4" xfId="0" applyNumberFormat="1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7" fillId="0" borderId="0" xfId="0" applyFont="1"/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2" fontId="6" fillId="0" borderId="1" xfId="0" applyNumberFormat="1" applyFont="1" applyBorder="1" applyAlignment="1">
      <alignment horizontal="left"/>
    </xf>
    <xf numFmtId="0" fontId="20" fillId="0" borderId="0" xfId="0" applyFont="1" applyAlignment="1">
      <alignment horizontal="center"/>
    </xf>
    <xf numFmtId="0" fontId="7" fillId="0" borderId="1" xfId="0" applyFont="1" applyBorder="1"/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/>
    </xf>
    <xf numFmtId="0" fontId="6" fillId="0" borderId="1" xfId="0" applyFont="1" applyBorder="1"/>
    <xf numFmtId="0" fontId="5" fillId="5" borderId="1" xfId="0" applyFont="1" applyFill="1" applyBorder="1"/>
    <xf numFmtId="0" fontId="1" fillId="0" borderId="6" xfId="0" applyFont="1" applyBorder="1" applyAlignment="1">
      <alignment horizontal="center"/>
    </xf>
    <xf numFmtId="0" fontId="8" fillId="7" borderId="5" xfId="0" applyFont="1" applyFill="1" applyBorder="1" applyAlignment="1">
      <alignment horizontal="center" vertical="top" wrapText="1"/>
    </xf>
    <xf numFmtId="0" fontId="14" fillId="7" borderId="5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 vertical="top" wrapText="1"/>
    </xf>
    <xf numFmtId="0" fontId="14" fillId="3" borderId="5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1" fillId="6" borderId="3" xfId="0" applyFont="1" applyFill="1" applyBorder="1"/>
    <xf numFmtId="0" fontId="2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6" borderId="1" xfId="0" applyFont="1" applyFill="1" applyBorder="1"/>
    <xf numFmtId="0" fontId="1" fillId="0" borderId="1" xfId="0" applyFont="1" applyBorder="1" applyAlignment="1">
      <alignment horizontal="center"/>
    </xf>
    <xf numFmtId="2" fontId="6" fillId="9" borderId="1" xfId="0" applyNumberFormat="1" applyFont="1" applyFill="1" applyBorder="1" applyAlignment="1">
      <alignment horizontal="center"/>
    </xf>
    <xf numFmtId="2" fontId="6" fillId="10" borderId="1" xfId="0" applyNumberFormat="1" applyFont="1" applyFill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6" fillId="10" borderId="0" xfId="0" applyFont="1" applyFill="1" applyAlignment="1">
      <alignment horizontal="center"/>
    </xf>
    <xf numFmtId="2" fontId="26" fillId="9" borderId="1" xfId="1" applyNumberFormat="1" applyFont="1" applyFill="1" applyBorder="1" applyAlignment="1">
      <alignment horizontal="center"/>
    </xf>
    <xf numFmtId="2" fontId="6" fillId="13" borderId="1" xfId="0" applyNumberFormat="1" applyFont="1" applyFill="1" applyBorder="1" applyAlignment="1">
      <alignment horizontal="center"/>
    </xf>
    <xf numFmtId="2" fontId="28" fillId="12" borderId="1" xfId="0" applyNumberFormat="1" applyFont="1" applyFill="1" applyBorder="1" applyAlignment="1">
      <alignment horizontal="center"/>
    </xf>
    <xf numFmtId="0" fontId="28" fillId="11" borderId="1" xfId="0" applyFont="1" applyFill="1" applyBorder="1" applyAlignment="1">
      <alignment horizontal="center"/>
    </xf>
    <xf numFmtId="2" fontId="28" fillId="11" borderId="1" xfId="0" applyNumberFormat="1" applyFont="1" applyFill="1" applyBorder="1" applyAlignment="1">
      <alignment horizontal="center"/>
    </xf>
    <xf numFmtId="0" fontId="8" fillId="10" borderId="5" xfId="0" applyFont="1" applyFill="1" applyBorder="1" applyAlignment="1">
      <alignment horizontal="center" vertical="top" wrapText="1"/>
    </xf>
    <xf numFmtId="0" fontId="14" fillId="10" borderId="5" xfId="0" applyFont="1" applyFill="1" applyBorder="1" applyAlignment="1">
      <alignment horizontal="center"/>
    </xf>
    <xf numFmtId="0" fontId="29" fillId="12" borderId="5" xfId="0" applyFont="1" applyFill="1" applyBorder="1" applyAlignment="1">
      <alignment horizontal="center" vertical="top" wrapText="1"/>
    </xf>
    <xf numFmtId="0" fontId="29" fillId="12" borderId="5" xfId="0" applyFont="1" applyFill="1" applyBorder="1" applyAlignment="1">
      <alignment horizontal="center"/>
    </xf>
    <xf numFmtId="0" fontId="8" fillId="13" borderId="5" xfId="0" applyFont="1" applyFill="1" applyBorder="1" applyAlignment="1">
      <alignment horizontal="center" vertical="top" wrapText="1"/>
    </xf>
    <xf numFmtId="0" fontId="14" fillId="13" borderId="5" xfId="0" applyFont="1" applyFill="1" applyBorder="1" applyAlignment="1">
      <alignment horizontal="center"/>
    </xf>
    <xf numFmtId="2" fontId="6" fillId="0" borderId="7" xfId="0" applyNumberFormat="1" applyFont="1" applyBorder="1" applyAlignment="1">
      <alignment horizontal="left"/>
    </xf>
    <xf numFmtId="2" fontId="6" fillId="14" borderId="1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28" fillId="12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13" borderId="1" xfId="0" applyFont="1" applyFill="1" applyBorder="1" applyAlignment="1">
      <alignment horizontal="center"/>
    </xf>
    <xf numFmtId="164" fontId="6" fillId="13" borderId="1" xfId="0" applyNumberFormat="1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27" fillId="12" borderId="1" xfId="0" applyFont="1" applyFill="1" applyBorder="1" applyAlignment="1">
      <alignment horizontal="center"/>
    </xf>
    <xf numFmtId="164" fontId="28" fillId="12" borderId="1" xfId="0" applyNumberFormat="1" applyFont="1" applyFill="1" applyBorder="1" applyAlignment="1">
      <alignment horizontal="center"/>
    </xf>
    <xf numFmtId="0" fontId="28" fillId="12" borderId="1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164" fontId="6" fillId="11" borderId="1" xfId="0" applyNumberFormat="1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164" fontId="6" fillId="10" borderId="1" xfId="0" applyNumberFormat="1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</cellXfs>
  <cellStyles count="18">
    <cellStyle name="Bad" xfId="1" builtinId="27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1" builtinId="8" hidden="1"/>
    <cellStyle name="Hyperlink" xfId="7" builtinId="8" hidden="1"/>
    <cellStyle name="Hyperlink" xfId="5" builtinId="8" hidden="1"/>
    <cellStyle name="Hyperlink" xfId="17" builtinId="8" hidden="1"/>
    <cellStyle name="Hyperlink" xfId="3" builtinId="8" hidden="1"/>
    <cellStyle name="Hyperlink" xfId="15" builtinId="8" hidden="1"/>
    <cellStyle name="Hyperlink" xfId="13" builtinId="8" hidden="1"/>
    <cellStyle name="Hyperlink" xfId="9" builtinId="8" hidden="1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2:G22"/>
  <sheetViews>
    <sheetView tabSelected="1" workbookViewId="0">
      <selection activeCell="I19" sqref="I19"/>
    </sheetView>
  </sheetViews>
  <sheetFormatPr defaultColWidth="8.875" defaultRowHeight="18"/>
  <cols>
    <col min="2" max="2" width="4.875" style="47" bestFit="1" customWidth="1"/>
    <col min="3" max="3" width="21.125" bestFit="1" customWidth="1"/>
    <col min="4" max="4" width="18.125" bestFit="1" customWidth="1"/>
    <col min="7" max="7" width="9.625" bestFit="1" customWidth="1"/>
  </cols>
  <sheetData>
    <row r="2" spans="2:7" s="38" customFormat="1" ht="20.100000000000001">
      <c r="B2" s="84"/>
      <c r="C2" s="45" t="s">
        <v>0</v>
      </c>
      <c r="D2" s="45" t="s">
        <v>1</v>
      </c>
    </row>
    <row r="3" spans="2:7">
      <c r="B3" s="84"/>
      <c r="C3" s="46" t="s">
        <v>2</v>
      </c>
      <c r="D3" s="83">
        <f>'Total Points'!C24</f>
        <v>42</v>
      </c>
      <c r="E3" t="s">
        <v>3</v>
      </c>
    </row>
    <row r="4" spans="2:7">
      <c r="B4" s="84"/>
      <c r="C4" s="46" t="s">
        <v>4</v>
      </c>
      <c r="D4" s="83">
        <f>'Total Points'!E24</f>
        <v>41.5</v>
      </c>
      <c r="E4" t="s">
        <v>3</v>
      </c>
    </row>
    <row r="5" spans="2:7">
      <c r="B5" s="84"/>
      <c r="C5" s="46" t="s">
        <v>5</v>
      </c>
      <c r="D5" s="83">
        <f>'Total Points'!L24</f>
        <v>39.900000000000006</v>
      </c>
      <c r="E5" t="s">
        <v>3</v>
      </c>
    </row>
    <row r="6" spans="2:7">
      <c r="B6" s="84"/>
      <c r="C6" s="46" t="s">
        <v>6</v>
      </c>
      <c r="D6" s="83">
        <f>'Total Points'!B24</f>
        <v>38.4</v>
      </c>
      <c r="E6" t="s">
        <v>3</v>
      </c>
    </row>
    <row r="7" spans="2:7">
      <c r="B7" s="84"/>
      <c r="C7" s="46" t="s">
        <v>7</v>
      </c>
      <c r="D7" s="83">
        <f>'Total Points'!J24</f>
        <v>37.200000000000003</v>
      </c>
      <c r="E7" t="s">
        <v>3</v>
      </c>
    </row>
    <row r="8" spans="2:7">
      <c r="B8" s="84"/>
      <c r="C8" s="46" t="s">
        <v>8</v>
      </c>
      <c r="D8" s="83">
        <f>'Total Points'!P24</f>
        <v>34.9</v>
      </c>
      <c r="E8" t="s">
        <v>3</v>
      </c>
      <c r="G8" t="s">
        <v>9</v>
      </c>
    </row>
    <row r="9" spans="2:7">
      <c r="B9" s="84"/>
      <c r="C9" s="46" t="s">
        <v>10</v>
      </c>
      <c r="D9" s="83">
        <f>'Total Points'!K24</f>
        <v>32.1</v>
      </c>
      <c r="E9" t="s">
        <v>3</v>
      </c>
    </row>
    <row r="10" spans="2:7">
      <c r="B10" s="84"/>
      <c r="C10" s="46" t="s">
        <v>11</v>
      </c>
      <c r="D10" s="83">
        <f>'Total Points'!U24</f>
        <v>32</v>
      </c>
      <c r="E10" t="s">
        <v>3</v>
      </c>
    </row>
    <row r="11" spans="2:7">
      <c r="B11" s="84"/>
      <c r="C11" s="46" t="s">
        <v>12</v>
      </c>
      <c r="D11" s="83">
        <f>'Total Points'!R24</f>
        <v>28.6</v>
      </c>
      <c r="E11" t="s">
        <v>3</v>
      </c>
    </row>
    <row r="12" spans="2:7">
      <c r="B12" s="84"/>
      <c r="C12" s="46" t="s">
        <v>13</v>
      </c>
      <c r="D12" s="83">
        <f>'Total Points'!O24</f>
        <v>27.6</v>
      </c>
      <c r="E12" t="s">
        <v>3</v>
      </c>
    </row>
    <row r="13" spans="2:7">
      <c r="B13" s="84"/>
      <c r="C13" s="46" t="s">
        <v>14</v>
      </c>
      <c r="D13" s="83">
        <f>'Total Points'!F24</f>
        <v>26.799999999999997</v>
      </c>
      <c r="E13" t="s">
        <v>3</v>
      </c>
    </row>
    <row r="14" spans="2:7">
      <c r="B14" s="84"/>
      <c r="C14" s="46" t="s">
        <v>15</v>
      </c>
      <c r="D14" s="83">
        <f>'Total Points'!S24</f>
        <v>26.3</v>
      </c>
      <c r="E14" t="s">
        <v>3</v>
      </c>
    </row>
    <row r="15" spans="2:7">
      <c r="B15" s="84"/>
      <c r="C15" s="46" t="s">
        <v>16</v>
      </c>
      <c r="D15" s="83">
        <f>'Total Points'!D24</f>
        <v>26.05</v>
      </c>
      <c r="E15" t="s">
        <v>3</v>
      </c>
    </row>
    <row r="16" spans="2:7">
      <c r="B16" s="5"/>
      <c r="C16" s="46" t="s">
        <v>17</v>
      </c>
      <c r="D16" s="83">
        <f>'Total Points'!I24</f>
        <v>26</v>
      </c>
      <c r="E16" t="s">
        <v>3</v>
      </c>
    </row>
    <row r="17" spans="3:5">
      <c r="C17" s="46" t="s">
        <v>18</v>
      </c>
      <c r="D17" s="83">
        <f>'Total Points'!Q24</f>
        <v>25.6</v>
      </c>
      <c r="E17" t="s">
        <v>3</v>
      </c>
    </row>
    <row r="18" spans="3:5">
      <c r="C18" s="46" t="s">
        <v>19</v>
      </c>
      <c r="D18" s="83">
        <f>'Total Points'!H24</f>
        <v>24.25</v>
      </c>
      <c r="E18" t="s">
        <v>3</v>
      </c>
    </row>
    <row r="19" spans="3:5">
      <c r="C19" s="82" t="s">
        <v>20</v>
      </c>
      <c r="D19" s="83">
        <f>'Total Points'!N24</f>
        <v>22.4</v>
      </c>
      <c r="E19" t="s">
        <v>9</v>
      </c>
    </row>
    <row r="20" spans="3:5">
      <c r="C20" s="82" t="s">
        <v>21</v>
      </c>
      <c r="D20" s="83">
        <f>'Total Points'!G24</f>
        <v>21.9</v>
      </c>
      <c r="E20" t="s">
        <v>3</v>
      </c>
    </row>
    <row r="21" spans="3:5">
      <c r="C21" s="82" t="s">
        <v>22</v>
      </c>
      <c r="D21" s="83">
        <f>'Total Points'!M24</f>
        <v>21.6</v>
      </c>
      <c r="E21" t="s">
        <v>3</v>
      </c>
    </row>
    <row r="22" spans="3:5">
      <c r="C22" s="82" t="s">
        <v>23</v>
      </c>
      <c r="D22" s="83">
        <f>'Total Points'!T24</f>
        <v>20.5</v>
      </c>
      <c r="E22" t="s">
        <v>9</v>
      </c>
    </row>
  </sheetData>
  <sortState xmlns:xlrd2="http://schemas.microsoft.com/office/spreadsheetml/2017/richdata2" ref="C3:D22">
    <sortCondition descending="1" ref="D3:D22"/>
  </sortState>
  <phoneticPr fontId="19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AI177"/>
  <sheetViews>
    <sheetView zoomScale="85" zoomScaleNormal="85" zoomScalePageLayoutView="84" workbookViewId="0">
      <pane ySplit="7" topLeftCell="A150" activePane="bottomLeft" state="frozen"/>
      <selection pane="bottomLeft" activeCell="AE129" sqref="AE129"/>
    </sheetView>
  </sheetViews>
  <sheetFormatPr defaultColWidth="10.625" defaultRowHeight="15.95" customHeight="1"/>
  <cols>
    <col min="1" max="1" width="23" style="38" customWidth="1"/>
    <col min="2" max="2" width="11.625" style="3" bestFit="1" customWidth="1"/>
    <col min="3" max="12" width="5.625" style="3" customWidth="1"/>
    <col min="13" max="13" width="11.5" style="3" customWidth="1"/>
    <col min="14" max="23" width="5.625" style="3" customWidth="1"/>
    <col min="24" max="24" width="9.625" style="9" bestFit="1" customWidth="1"/>
    <col min="25" max="25" width="2.125" style="3" customWidth="1"/>
    <col min="26" max="33" width="5.625" style="3" customWidth="1"/>
    <col min="34" max="34" width="8" style="4" customWidth="1"/>
    <col min="35" max="16384" width="10.625" style="3"/>
  </cols>
  <sheetData>
    <row r="1" spans="1:34" ht="28.5" customHeight="1">
      <c r="A1" s="89" t="s">
        <v>24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61"/>
      <c r="Z1" s="61"/>
      <c r="AA1" s="61"/>
      <c r="AB1" s="61"/>
      <c r="AC1" s="61"/>
      <c r="AD1" s="61"/>
      <c r="AE1" s="61"/>
      <c r="AF1" s="61"/>
      <c r="AG1" s="61"/>
      <c r="AH1" s="64"/>
    </row>
    <row r="2" spans="1:34" s="1" customFormat="1" ht="15.75" customHeight="1">
      <c r="A2" s="90" t="s">
        <v>25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AH2" s="2"/>
    </row>
    <row r="3" spans="1:34" ht="15.75" customHeight="1">
      <c r="A3" s="35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Y3" s="61"/>
      <c r="Z3" s="61"/>
      <c r="AA3" s="61"/>
      <c r="AB3" s="61"/>
      <c r="AC3" s="61"/>
      <c r="AD3" s="61"/>
      <c r="AE3" s="61"/>
      <c r="AF3" s="61"/>
      <c r="AG3" s="61"/>
      <c r="AH3" s="64"/>
    </row>
    <row r="4" spans="1:34" s="9" customFormat="1" ht="15.75" customHeight="1">
      <c r="A4" s="36"/>
      <c r="B4" s="7"/>
      <c r="C4" s="7">
        <v>1</v>
      </c>
      <c r="D4" s="7">
        <v>2</v>
      </c>
      <c r="E4" s="7">
        <v>3</v>
      </c>
      <c r="F4" s="7">
        <v>4</v>
      </c>
      <c r="G4" s="7">
        <v>5</v>
      </c>
      <c r="H4" s="7">
        <v>6</v>
      </c>
      <c r="I4" s="7">
        <v>7</v>
      </c>
      <c r="J4" s="7">
        <v>8</v>
      </c>
      <c r="K4" s="7">
        <v>9</v>
      </c>
      <c r="L4" s="8" t="s">
        <v>26</v>
      </c>
      <c r="M4" s="7"/>
      <c r="N4" s="7">
        <v>10</v>
      </c>
      <c r="O4" s="7">
        <v>11</v>
      </c>
      <c r="P4" s="7">
        <v>12</v>
      </c>
      <c r="Q4" s="7">
        <v>13</v>
      </c>
      <c r="R4" s="7">
        <v>14</v>
      </c>
      <c r="S4" s="7">
        <v>15</v>
      </c>
      <c r="T4" s="7">
        <v>16</v>
      </c>
      <c r="U4" s="7">
        <v>17</v>
      </c>
      <c r="V4" s="7">
        <v>18</v>
      </c>
      <c r="W4" s="8" t="s">
        <v>26</v>
      </c>
      <c r="X4" s="8" t="s">
        <v>27</v>
      </c>
    </row>
    <row r="5" spans="1:34" s="9" customFormat="1" ht="15.95" customHeight="1">
      <c r="A5" s="11" t="s">
        <v>28</v>
      </c>
      <c r="B5" s="10" t="s">
        <v>29</v>
      </c>
      <c r="C5" s="20">
        <v>485</v>
      </c>
      <c r="D5" s="20">
        <v>380</v>
      </c>
      <c r="E5" s="20">
        <v>145</v>
      </c>
      <c r="F5" s="20">
        <v>562</v>
      </c>
      <c r="G5" s="20">
        <v>184</v>
      </c>
      <c r="H5" s="20">
        <v>322</v>
      </c>
      <c r="I5" s="20">
        <v>385</v>
      </c>
      <c r="J5" s="20">
        <v>200</v>
      </c>
      <c r="K5" s="20">
        <v>471</v>
      </c>
      <c r="L5" s="11">
        <f>SUM(C5:K5)</f>
        <v>3134</v>
      </c>
      <c r="M5" s="10" t="s">
        <v>29</v>
      </c>
      <c r="N5" s="20">
        <v>373</v>
      </c>
      <c r="O5" s="20">
        <v>193</v>
      </c>
      <c r="P5" s="20">
        <v>524</v>
      </c>
      <c r="Q5" s="20">
        <v>402</v>
      </c>
      <c r="R5" s="20">
        <v>405</v>
      </c>
      <c r="S5" s="20">
        <v>167</v>
      </c>
      <c r="T5" s="20">
        <v>425</v>
      </c>
      <c r="U5" s="20">
        <v>537</v>
      </c>
      <c r="V5" s="20">
        <v>170</v>
      </c>
      <c r="W5" s="11">
        <f>SUM(N5:V5)</f>
        <v>3196</v>
      </c>
      <c r="X5" s="11" t="s">
        <v>1</v>
      </c>
    </row>
    <row r="6" spans="1:34" s="9" customFormat="1" ht="15.95" customHeight="1">
      <c r="A6" s="12"/>
      <c r="B6" s="12" t="s">
        <v>9</v>
      </c>
      <c r="C6" s="21">
        <v>4</v>
      </c>
      <c r="D6" s="21">
        <v>4</v>
      </c>
      <c r="E6" s="21">
        <v>3</v>
      </c>
      <c r="F6" s="21">
        <v>4</v>
      </c>
      <c r="G6" s="21">
        <v>4</v>
      </c>
      <c r="H6" s="21">
        <v>4</v>
      </c>
      <c r="I6" s="21">
        <v>3</v>
      </c>
      <c r="J6" s="21">
        <v>5</v>
      </c>
      <c r="K6" s="21">
        <v>4</v>
      </c>
      <c r="L6" s="12">
        <f>SUM(C6:K6)</f>
        <v>35</v>
      </c>
      <c r="M6" s="12" t="s">
        <v>30</v>
      </c>
      <c r="N6" s="21">
        <v>4</v>
      </c>
      <c r="O6" s="21">
        <v>4</v>
      </c>
      <c r="P6" s="21">
        <v>3</v>
      </c>
      <c r="Q6" s="21">
        <v>4</v>
      </c>
      <c r="R6" s="21">
        <v>5</v>
      </c>
      <c r="S6" s="21">
        <v>4</v>
      </c>
      <c r="T6" s="21">
        <v>4</v>
      </c>
      <c r="U6" s="21">
        <v>3</v>
      </c>
      <c r="V6" s="21">
        <v>5</v>
      </c>
      <c r="W6" s="12">
        <f>SUM(N6:V6)</f>
        <v>36</v>
      </c>
      <c r="X6" s="13"/>
    </row>
    <row r="7" spans="1:34" s="9" customFormat="1" ht="15.95" customHeight="1">
      <c r="A7" s="14"/>
      <c r="B7" s="15" t="s">
        <v>31</v>
      </c>
      <c r="C7" s="23">
        <v>6</v>
      </c>
      <c r="D7" s="23">
        <v>10</v>
      </c>
      <c r="E7" s="23">
        <v>18</v>
      </c>
      <c r="F7" s="23">
        <v>12</v>
      </c>
      <c r="G7" s="23">
        <v>8</v>
      </c>
      <c r="H7" s="23">
        <v>2</v>
      </c>
      <c r="I7" s="23">
        <v>16</v>
      </c>
      <c r="J7" s="23">
        <v>4</v>
      </c>
      <c r="K7" s="23">
        <v>14</v>
      </c>
      <c r="L7" s="15"/>
      <c r="M7" s="15" t="s">
        <v>31</v>
      </c>
      <c r="N7" s="23">
        <v>11</v>
      </c>
      <c r="O7" s="23">
        <v>5</v>
      </c>
      <c r="P7" s="23">
        <v>15</v>
      </c>
      <c r="Q7" s="23">
        <v>7</v>
      </c>
      <c r="R7" s="23">
        <v>9</v>
      </c>
      <c r="S7" s="23">
        <v>13</v>
      </c>
      <c r="T7" s="23">
        <v>1</v>
      </c>
      <c r="U7" s="23">
        <v>17</v>
      </c>
      <c r="V7" s="23">
        <v>3</v>
      </c>
      <c r="W7" s="15"/>
      <c r="X7" s="14"/>
    </row>
    <row r="8" spans="1:34" ht="15.95" customHeight="1">
      <c r="A8" s="76" t="s">
        <v>14</v>
      </c>
      <c r="B8" s="65" t="s">
        <v>32</v>
      </c>
      <c r="C8" s="59">
        <v>4</v>
      </c>
      <c r="D8" s="59">
        <v>4</v>
      </c>
      <c r="E8" s="59">
        <v>4</v>
      </c>
      <c r="F8" s="59">
        <v>4</v>
      </c>
      <c r="G8" s="59">
        <v>4</v>
      </c>
      <c r="H8" s="59">
        <v>6</v>
      </c>
      <c r="I8" s="59">
        <v>4</v>
      </c>
      <c r="J8" s="59">
        <v>8</v>
      </c>
      <c r="K8" s="59">
        <v>6</v>
      </c>
      <c r="L8" s="26">
        <f>SUM(C8:K8)</f>
        <v>44</v>
      </c>
      <c r="M8" s="65" t="s">
        <v>32</v>
      </c>
      <c r="N8" s="59">
        <v>4</v>
      </c>
      <c r="O8" s="59">
        <v>4</v>
      </c>
      <c r="P8" s="59">
        <v>3</v>
      </c>
      <c r="Q8" s="59">
        <v>5</v>
      </c>
      <c r="R8" s="59">
        <v>6</v>
      </c>
      <c r="S8" s="59">
        <v>4</v>
      </c>
      <c r="T8" s="59">
        <v>5</v>
      </c>
      <c r="U8" s="59">
        <v>3</v>
      </c>
      <c r="V8" s="59">
        <v>5</v>
      </c>
      <c r="W8" s="22">
        <f>SUM(N8:V8)</f>
        <v>39</v>
      </c>
      <c r="X8" s="15">
        <f t="shared" ref="X8:X55" si="0">L8+W8</f>
        <v>83</v>
      </c>
      <c r="Y8" s="61"/>
      <c r="Z8" s="61"/>
      <c r="AA8" s="61"/>
      <c r="AB8" s="61"/>
      <c r="AC8" s="61"/>
      <c r="AD8" s="61"/>
      <c r="AE8" s="61"/>
      <c r="AF8" s="61"/>
      <c r="AG8" s="61"/>
      <c r="AH8" s="61"/>
    </row>
    <row r="9" spans="1:34" s="29" customFormat="1" ht="15.95" customHeight="1">
      <c r="A9" s="77">
        <v>2</v>
      </c>
      <c r="B9" s="27" t="s">
        <v>31</v>
      </c>
      <c r="C9" s="28"/>
      <c r="D9" s="28"/>
      <c r="E9" s="28"/>
      <c r="F9" s="28"/>
      <c r="G9" s="28"/>
      <c r="H9" s="28">
        <v>-1</v>
      </c>
      <c r="I9" s="28"/>
      <c r="J9" s="28"/>
      <c r="K9" s="28"/>
      <c r="L9" s="24">
        <f t="shared" ref="L9:L54" si="1">SUM(C9:K9)</f>
        <v>-1</v>
      </c>
      <c r="M9" s="27" t="s">
        <v>31</v>
      </c>
      <c r="N9" s="28"/>
      <c r="O9" s="28"/>
      <c r="P9" s="28"/>
      <c r="Q9" s="28"/>
      <c r="R9" s="28"/>
      <c r="S9" s="28"/>
      <c r="T9" s="28">
        <v>-1</v>
      </c>
      <c r="U9" s="28"/>
      <c r="V9" s="28"/>
      <c r="W9" s="24">
        <f t="shared" ref="W9:W55" si="2">SUM(N9:V9)</f>
        <v>-1</v>
      </c>
      <c r="X9" s="25">
        <f t="shared" si="0"/>
        <v>-2</v>
      </c>
    </row>
    <row r="10" spans="1:34" ht="15.95" customHeight="1">
      <c r="A10" s="37"/>
      <c r="B10" s="60" t="s">
        <v>33</v>
      </c>
      <c r="C10" s="66">
        <f t="shared" ref="C10:K10" si="3">SUM(C8:C9)</f>
        <v>4</v>
      </c>
      <c r="D10" s="66">
        <f t="shared" si="3"/>
        <v>4</v>
      </c>
      <c r="E10" s="66">
        <f t="shared" si="3"/>
        <v>4</v>
      </c>
      <c r="F10" s="66">
        <f t="shared" si="3"/>
        <v>4</v>
      </c>
      <c r="G10" s="66">
        <f t="shared" si="3"/>
        <v>4</v>
      </c>
      <c r="H10" s="66">
        <f t="shared" si="3"/>
        <v>5</v>
      </c>
      <c r="I10" s="66">
        <f t="shared" si="3"/>
        <v>4</v>
      </c>
      <c r="J10" s="66">
        <f t="shared" si="3"/>
        <v>8</v>
      </c>
      <c r="K10" s="66">
        <f t="shared" si="3"/>
        <v>6</v>
      </c>
      <c r="L10" s="22">
        <f t="shared" si="1"/>
        <v>43</v>
      </c>
      <c r="M10" s="60" t="s">
        <v>33</v>
      </c>
      <c r="N10" s="66">
        <f t="shared" ref="N10:V10" si="4">SUM(N8:N9)</f>
        <v>4</v>
      </c>
      <c r="O10" s="66">
        <f t="shared" si="4"/>
        <v>4</v>
      </c>
      <c r="P10" s="66">
        <f t="shared" si="4"/>
        <v>3</v>
      </c>
      <c r="Q10" s="66">
        <f t="shared" si="4"/>
        <v>5</v>
      </c>
      <c r="R10" s="66">
        <f t="shared" si="4"/>
        <v>6</v>
      </c>
      <c r="S10" s="66">
        <f t="shared" si="4"/>
        <v>4</v>
      </c>
      <c r="T10" s="66">
        <f t="shared" si="4"/>
        <v>4</v>
      </c>
      <c r="U10" s="66">
        <f t="shared" si="4"/>
        <v>3</v>
      </c>
      <c r="V10" s="66">
        <f t="shared" si="4"/>
        <v>5</v>
      </c>
      <c r="W10" s="22">
        <f t="shared" si="2"/>
        <v>38</v>
      </c>
      <c r="X10" s="15">
        <f>L10+W10</f>
        <v>81</v>
      </c>
      <c r="Y10" s="61"/>
      <c r="Z10" s="61"/>
      <c r="AA10" s="61"/>
      <c r="AB10" s="61"/>
      <c r="AC10" s="61"/>
      <c r="AD10" s="61"/>
      <c r="AE10" s="61"/>
      <c r="AF10" s="61"/>
      <c r="AG10" s="61"/>
      <c r="AH10" s="61"/>
    </row>
    <row r="11" spans="1:34" ht="15.95" customHeight="1" thickBot="1">
      <c r="A11" s="53"/>
      <c r="B11" s="31" t="s">
        <v>34</v>
      </c>
      <c r="C11" s="32">
        <f t="shared" ref="C11:K11" si="5">IF(C10=0,0,IF(C10-C6=-3,3,IF(C10-C6=-2,1.5,IF(C10-C6=-1,0.8,IF(C10-C6=0,0.4,IF(C10-C6=1,0,IF(C10-C6&lt;=2&gt;15,0,_xludf.IF)))))))</f>
        <v>0.4</v>
      </c>
      <c r="D11" s="32">
        <f t="shared" si="5"/>
        <v>0.4</v>
      </c>
      <c r="E11" s="32">
        <f t="shared" si="5"/>
        <v>0</v>
      </c>
      <c r="F11" s="32">
        <f t="shared" si="5"/>
        <v>0.4</v>
      </c>
      <c r="G11" s="32">
        <f t="shared" si="5"/>
        <v>0.4</v>
      </c>
      <c r="H11" s="32">
        <f>IF(H10=0,0,IF(H10-H6=-3,3,IF(H10-H6=-2,1.5,IF(H10-H6=-1,0.8,IF(H10-H6=0,0.4,IF(H10-H6=1,0,IF(H10-H6&lt;=2&gt;15,0,_xludf.IF)))))))</f>
        <v>0</v>
      </c>
      <c r="I11" s="32">
        <f>IF(I10=0,0,IF(I10-I6=-3,3,IF(I10-I6=-2,1.5,IF(I10-I6=-1,0.8,IF(I10-I6=0,0.4,IF(I10-I6=1,0,IF(I10-I6&lt;=2&gt;15,0,_xludf.IF)))))))</f>
        <v>0</v>
      </c>
      <c r="J11" s="32">
        <f>IF(J10=0,0,IF(J10-J6=-3,3,IF(J10-J6=-2,1.5,IF(J10-J6=-1,0.8,IF(J10-J6=0,0.4,IF(J10-J6=1,0,IF(J10-J6&lt;=2&gt;15,0,_xludf.IF)))))))</f>
        <v>0</v>
      </c>
      <c r="K11" s="32">
        <f t="shared" si="5"/>
        <v>0</v>
      </c>
      <c r="L11" s="32">
        <f>SUM(C11:K11)</f>
        <v>1.6</v>
      </c>
      <c r="M11" s="31" t="s">
        <v>34</v>
      </c>
      <c r="N11" s="32">
        <f t="shared" ref="N11:V11" si="6">IF(N10=0,0,IF(N10-N6=-3,3,IF(N10-N6=-2,1.5,IF(N10-N6=-1,0.8,IF(N10-N6=0,0.4,IF(N10-N6=1,0,IF(N10-N6&lt;=2&gt;15,0,_xludf.IF)))))))</f>
        <v>0.4</v>
      </c>
      <c r="O11" s="32">
        <f t="shared" si="6"/>
        <v>0.4</v>
      </c>
      <c r="P11" s="32">
        <f t="shared" si="6"/>
        <v>0.4</v>
      </c>
      <c r="Q11" s="32">
        <f t="shared" si="6"/>
        <v>0</v>
      </c>
      <c r="R11" s="32">
        <f t="shared" si="6"/>
        <v>0</v>
      </c>
      <c r="S11" s="32">
        <f t="shared" si="6"/>
        <v>0.4</v>
      </c>
      <c r="T11" s="32">
        <f t="shared" si="6"/>
        <v>0.4</v>
      </c>
      <c r="U11" s="32">
        <f t="shared" si="6"/>
        <v>0.4</v>
      </c>
      <c r="V11" s="32">
        <f t="shared" si="6"/>
        <v>0.4</v>
      </c>
      <c r="W11" s="32">
        <f t="shared" si="2"/>
        <v>2.8</v>
      </c>
      <c r="X11" s="30">
        <f t="shared" si="0"/>
        <v>4.4000000000000004</v>
      </c>
      <c r="Y11" s="61"/>
      <c r="Z11" s="61"/>
      <c r="AA11" s="61"/>
      <c r="AB11" s="61"/>
      <c r="AC11" s="61"/>
      <c r="AD11" s="61"/>
      <c r="AE11" s="61"/>
      <c r="AF11" s="61"/>
      <c r="AG11" s="61"/>
      <c r="AH11" s="61"/>
    </row>
    <row r="12" spans="1:34" ht="15.95" customHeight="1">
      <c r="A12" s="76" t="s">
        <v>35</v>
      </c>
      <c r="B12" s="62" t="s">
        <v>32</v>
      </c>
      <c r="C12" s="59">
        <v>5</v>
      </c>
      <c r="D12" s="59">
        <v>6</v>
      </c>
      <c r="E12" s="59">
        <v>4</v>
      </c>
      <c r="F12" s="59">
        <v>4</v>
      </c>
      <c r="G12" s="59">
        <v>6</v>
      </c>
      <c r="H12" s="59">
        <v>5</v>
      </c>
      <c r="I12" s="59">
        <v>4</v>
      </c>
      <c r="J12" s="59">
        <v>6</v>
      </c>
      <c r="K12" s="59">
        <v>6</v>
      </c>
      <c r="L12" s="26">
        <f>SUM(C12:K12)</f>
        <v>46</v>
      </c>
      <c r="M12" s="62" t="s">
        <v>32</v>
      </c>
      <c r="N12" s="59">
        <v>7</v>
      </c>
      <c r="O12" s="59">
        <v>6</v>
      </c>
      <c r="P12" s="59">
        <v>3</v>
      </c>
      <c r="Q12" s="59">
        <v>4</v>
      </c>
      <c r="R12" s="59">
        <v>8</v>
      </c>
      <c r="S12" s="59">
        <v>6</v>
      </c>
      <c r="T12" s="59">
        <v>5</v>
      </c>
      <c r="U12" s="59">
        <v>5</v>
      </c>
      <c r="V12" s="59">
        <v>5</v>
      </c>
      <c r="W12" s="26">
        <f>SUM(N12:V12)</f>
        <v>49</v>
      </c>
      <c r="X12" s="33">
        <f t="shared" si="0"/>
        <v>95</v>
      </c>
      <c r="Y12" s="61"/>
      <c r="Z12" s="61"/>
      <c r="AA12" s="61"/>
      <c r="AB12" s="61"/>
      <c r="AC12" s="61"/>
      <c r="AD12" s="61"/>
      <c r="AE12" s="61"/>
      <c r="AF12" s="61"/>
      <c r="AG12" s="61"/>
      <c r="AH12" s="61"/>
    </row>
    <row r="13" spans="1:34" s="29" customFormat="1" ht="15.95" customHeight="1">
      <c r="A13" s="77">
        <v>5</v>
      </c>
      <c r="B13" s="27" t="s">
        <v>31</v>
      </c>
      <c r="C13" s="28"/>
      <c r="D13" s="28"/>
      <c r="E13" s="28"/>
      <c r="F13" s="28"/>
      <c r="G13" s="28"/>
      <c r="H13" s="28">
        <v>-1</v>
      </c>
      <c r="I13" s="69"/>
      <c r="J13" s="69">
        <v>-1</v>
      </c>
      <c r="K13" s="28"/>
      <c r="L13" s="24">
        <f t="shared" si="1"/>
        <v>-2</v>
      </c>
      <c r="M13" s="27" t="s">
        <v>31</v>
      </c>
      <c r="N13" s="69"/>
      <c r="O13" s="69">
        <v>-1</v>
      </c>
      <c r="P13" s="28"/>
      <c r="Q13" s="69"/>
      <c r="R13" s="69"/>
      <c r="S13" s="28"/>
      <c r="T13" s="28">
        <v>-1</v>
      </c>
      <c r="U13" s="28"/>
      <c r="V13" s="28">
        <v>-1</v>
      </c>
      <c r="W13" s="24">
        <f t="shared" si="2"/>
        <v>-3</v>
      </c>
      <c r="X13" s="25">
        <f t="shared" si="0"/>
        <v>-5</v>
      </c>
    </row>
    <row r="14" spans="1:34" ht="15.95" customHeight="1">
      <c r="A14" s="37"/>
      <c r="B14" s="60" t="s">
        <v>33</v>
      </c>
      <c r="C14" s="66">
        <f t="shared" ref="C14:K14" si="7">SUM(C12:C13)</f>
        <v>5</v>
      </c>
      <c r="D14" s="66">
        <f t="shared" si="7"/>
        <v>6</v>
      </c>
      <c r="E14" s="66">
        <f t="shared" si="7"/>
        <v>4</v>
      </c>
      <c r="F14" s="66">
        <f t="shared" si="7"/>
        <v>4</v>
      </c>
      <c r="G14" s="66">
        <f t="shared" si="7"/>
        <v>6</v>
      </c>
      <c r="H14" s="66">
        <f t="shared" si="7"/>
        <v>4</v>
      </c>
      <c r="I14" s="66">
        <f t="shared" si="7"/>
        <v>4</v>
      </c>
      <c r="J14" s="66">
        <f t="shared" si="7"/>
        <v>5</v>
      </c>
      <c r="K14" s="66">
        <f t="shared" si="7"/>
        <v>6</v>
      </c>
      <c r="L14" s="22">
        <f t="shared" si="1"/>
        <v>44</v>
      </c>
      <c r="M14" s="60" t="s">
        <v>33</v>
      </c>
      <c r="N14" s="66">
        <f t="shared" ref="N14:V14" si="8">SUM(N12:N13)</f>
        <v>7</v>
      </c>
      <c r="O14" s="66">
        <f t="shared" si="8"/>
        <v>5</v>
      </c>
      <c r="P14" s="66">
        <f t="shared" si="8"/>
        <v>3</v>
      </c>
      <c r="Q14" s="66">
        <f t="shared" si="8"/>
        <v>4</v>
      </c>
      <c r="R14" s="66">
        <f t="shared" si="8"/>
        <v>8</v>
      </c>
      <c r="S14" s="66">
        <f t="shared" si="8"/>
        <v>6</v>
      </c>
      <c r="T14" s="66">
        <f t="shared" si="8"/>
        <v>4</v>
      </c>
      <c r="U14" s="66">
        <f t="shared" si="8"/>
        <v>5</v>
      </c>
      <c r="V14" s="66">
        <f t="shared" si="8"/>
        <v>4</v>
      </c>
      <c r="W14" s="22">
        <f t="shared" si="2"/>
        <v>46</v>
      </c>
      <c r="X14" s="15">
        <f t="shared" si="0"/>
        <v>90</v>
      </c>
      <c r="Y14" s="61"/>
      <c r="Z14" s="61"/>
      <c r="AA14" s="61"/>
      <c r="AB14" s="61"/>
      <c r="AC14" s="61"/>
      <c r="AD14" s="61"/>
      <c r="AE14" s="61"/>
      <c r="AF14" s="61"/>
      <c r="AG14" s="61"/>
      <c r="AH14" s="61"/>
    </row>
    <row r="15" spans="1:34" ht="15.95" customHeight="1" thickBot="1">
      <c r="A15" s="53"/>
      <c r="B15" s="31" t="s">
        <v>34</v>
      </c>
      <c r="C15" s="32">
        <f t="shared" ref="C15:K15" si="9">IF(C14=0,0,IF(C14-C6=-3,3,IF(C14-C6=-2,1.5,IF(C14-C6=-1,0.8,IF(C14-C6=0,0.4,IF(C14-C6=1,0,IF(C14-C6&lt;=2&gt;15,0,_xludf.IF)))))))</f>
        <v>0</v>
      </c>
      <c r="D15" s="32">
        <f t="shared" si="9"/>
        <v>0</v>
      </c>
      <c r="E15" s="32">
        <f t="shared" si="9"/>
        <v>0</v>
      </c>
      <c r="F15" s="32">
        <f t="shared" si="9"/>
        <v>0.4</v>
      </c>
      <c r="G15" s="32">
        <f t="shared" si="9"/>
        <v>0</v>
      </c>
      <c r="H15" s="32">
        <f t="shared" si="9"/>
        <v>0.4</v>
      </c>
      <c r="I15" s="32">
        <f t="shared" si="9"/>
        <v>0</v>
      </c>
      <c r="J15" s="32">
        <f t="shared" si="9"/>
        <v>0.4</v>
      </c>
      <c r="K15" s="32">
        <f t="shared" si="9"/>
        <v>0</v>
      </c>
      <c r="L15" s="32">
        <f t="shared" si="1"/>
        <v>1.2000000000000002</v>
      </c>
      <c r="M15" s="31" t="s">
        <v>34</v>
      </c>
      <c r="N15" s="32">
        <f t="shared" ref="N15:V15" si="10">IF(N14=0,0,IF(N14-N6=-3,3,IF(N14-N6=-2,1.5,IF(N14-N6=-1,0.8,IF(N14-N6=0,0.4,IF(N14-N6=1,0,IF(N14-N6&lt;=2&gt;15,0,_xludf.IF)))))))</f>
        <v>0</v>
      </c>
      <c r="O15" s="32">
        <f t="shared" si="10"/>
        <v>0</v>
      </c>
      <c r="P15" s="32">
        <f t="shared" si="10"/>
        <v>0.4</v>
      </c>
      <c r="Q15" s="32">
        <f t="shared" si="10"/>
        <v>0.4</v>
      </c>
      <c r="R15" s="32">
        <f t="shared" si="10"/>
        <v>0</v>
      </c>
      <c r="S15" s="32">
        <f t="shared" si="10"/>
        <v>0</v>
      </c>
      <c r="T15" s="32">
        <f t="shared" si="10"/>
        <v>0.4</v>
      </c>
      <c r="U15" s="32">
        <f t="shared" si="10"/>
        <v>0</v>
      </c>
      <c r="V15" s="32">
        <f t="shared" si="10"/>
        <v>0.8</v>
      </c>
      <c r="W15" s="32">
        <f t="shared" si="2"/>
        <v>2</v>
      </c>
      <c r="X15" s="30">
        <f t="shared" si="0"/>
        <v>3.2</v>
      </c>
      <c r="Y15" s="61"/>
      <c r="Z15" s="61"/>
      <c r="AA15" s="61"/>
      <c r="AB15" s="61"/>
      <c r="AC15" s="61"/>
      <c r="AD15" s="61"/>
      <c r="AE15" s="61"/>
      <c r="AF15" s="61"/>
      <c r="AG15" s="61"/>
      <c r="AH15" s="61"/>
    </row>
    <row r="16" spans="1:34" ht="15.95" customHeight="1">
      <c r="A16" s="76" t="s">
        <v>19</v>
      </c>
      <c r="B16" s="62" t="s">
        <v>32</v>
      </c>
      <c r="C16" s="59">
        <v>5</v>
      </c>
      <c r="D16" s="59">
        <v>5</v>
      </c>
      <c r="E16" s="59">
        <v>6</v>
      </c>
      <c r="F16" s="59">
        <v>5</v>
      </c>
      <c r="G16" s="59">
        <v>5</v>
      </c>
      <c r="H16" s="59">
        <v>5</v>
      </c>
      <c r="I16" s="59">
        <v>5</v>
      </c>
      <c r="J16" s="59">
        <v>5</v>
      </c>
      <c r="K16" s="59">
        <v>4</v>
      </c>
      <c r="L16" s="26">
        <f>SUM(C16:K16)</f>
        <v>45</v>
      </c>
      <c r="M16" s="62" t="s">
        <v>32</v>
      </c>
      <c r="N16" s="59">
        <v>5</v>
      </c>
      <c r="O16" s="59">
        <v>5</v>
      </c>
      <c r="P16" s="59">
        <v>4</v>
      </c>
      <c r="Q16" s="59">
        <v>6</v>
      </c>
      <c r="R16" s="59">
        <v>8</v>
      </c>
      <c r="S16" s="59">
        <v>8</v>
      </c>
      <c r="T16" s="59">
        <v>7</v>
      </c>
      <c r="U16" s="59">
        <v>3</v>
      </c>
      <c r="V16" s="59">
        <v>8</v>
      </c>
      <c r="W16" s="26">
        <f>SUM(N16:V16)</f>
        <v>54</v>
      </c>
      <c r="X16" s="33">
        <f t="shared" si="0"/>
        <v>99</v>
      </c>
      <c r="Y16" s="61"/>
      <c r="Z16" s="61"/>
      <c r="AA16" s="61"/>
      <c r="AB16" s="61"/>
      <c r="AC16" s="61"/>
      <c r="AD16" s="61"/>
      <c r="AE16" s="61"/>
      <c r="AF16" s="61"/>
      <c r="AG16" s="61"/>
      <c r="AH16" s="61"/>
    </row>
    <row r="17" spans="1:24" s="29" customFormat="1" ht="15.95" customHeight="1">
      <c r="A17" s="77">
        <v>12</v>
      </c>
      <c r="B17" s="27" t="s">
        <v>31</v>
      </c>
      <c r="C17" s="28">
        <v>-1</v>
      </c>
      <c r="D17" s="28">
        <v>-1</v>
      </c>
      <c r="E17" s="28"/>
      <c r="F17" s="28">
        <v>-1</v>
      </c>
      <c r="G17" s="28">
        <v>-1</v>
      </c>
      <c r="H17" s="28">
        <v>-1</v>
      </c>
      <c r="I17" s="28"/>
      <c r="J17" s="28">
        <v>-1</v>
      </c>
      <c r="K17" s="28"/>
      <c r="L17" s="24">
        <f t="shared" si="1"/>
        <v>-6</v>
      </c>
      <c r="M17" s="27" t="s">
        <v>31</v>
      </c>
      <c r="N17" s="28">
        <v>-1</v>
      </c>
      <c r="O17" s="28">
        <v>-1</v>
      </c>
      <c r="P17" s="28"/>
      <c r="Q17" s="28">
        <v>-1</v>
      </c>
      <c r="R17" s="28">
        <v>-1</v>
      </c>
      <c r="S17" s="28"/>
      <c r="T17" s="28">
        <v>-1</v>
      </c>
      <c r="U17" s="28"/>
      <c r="V17" s="28">
        <v>-1</v>
      </c>
      <c r="W17" s="24">
        <f t="shared" si="2"/>
        <v>-6</v>
      </c>
      <c r="X17" s="25">
        <f t="shared" si="0"/>
        <v>-12</v>
      </c>
    </row>
    <row r="18" spans="1:24" s="3" customFormat="1" ht="15.95" customHeight="1">
      <c r="A18" s="37"/>
      <c r="B18" s="60" t="s">
        <v>33</v>
      </c>
      <c r="C18" s="66">
        <f t="shared" ref="C18:K18" si="11">SUM(C16:C17)</f>
        <v>4</v>
      </c>
      <c r="D18" s="66">
        <f t="shared" si="11"/>
        <v>4</v>
      </c>
      <c r="E18" s="66">
        <f t="shared" si="11"/>
        <v>6</v>
      </c>
      <c r="F18" s="66">
        <f t="shared" si="11"/>
        <v>4</v>
      </c>
      <c r="G18" s="66">
        <f t="shared" si="11"/>
        <v>4</v>
      </c>
      <c r="H18" s="66">
        <f t="shared" si="11"/>
        <v>4</v>
      </c>
      <c r="I18" s="66">
        <f t="shared" si="11"/>
        <v>5</v>
      </c>
      <c r="J18" s="66">
        <f t="shared" si="11"/>
        <v>4</v>
      </c>
      <c r="K18" s="66">
        <f t="shared" si="11"/>
        <v>4</v>
      </c>
      <c r="L18" s="22">
        <f t="shared" si="1"/>
        <v>39</v>
      </c>
      <c r="M18" s="60" t="s">
        <v>33</v>
      </c>
      <c r="N18" s="66">
        <f t="shared" ref="N18:V18" si="12">SUM(N16:N17)</f>
        <v>4</v>
      </c>
      <c r="O18" s="66">
        <f t="shared" si="12"/>
        <v>4</v>
      </c>
      <c r="P18" s="66">
        <f t="shared" si="12"/>
        <v>4</v>
      </c>
      <c r="Q18" s="66">
        <f t="shared" si="12"/>
        <v>5</v>
      </c>
      <c r="R18" s="66">
        <f t="shared" si="12"/>
        <v>7</v>
      </c>
      <c r="S18" s="66">
        <f t="shared" si="12"/>
        <v>8</v>
      </c>
      <c r="T18" s="66">
        <f t="shared" si="12"/>
        <v>6</v>
      </c>
      <c r="U18" s="66">
        <f t="shared" si="12"/>
        <v>3</v>
      </c>
      <c r="V18" s="66">
        <f t="shared" si="12"/>
        <v>7</v>
      </c>
      <c r="W18" s="22">
        <f t="shared" si="2"/>
        <v>48</v>
      </c>
      <c r="X18" s="15">
        <f t="shared" si="0"/>
        <v>87</v>
      </c>
    </row>
    <row r="19" spans="1:24" s="3" customFormat="1" ht="15.95" customHeight="1" thickBot="1">
      <c r="A19" s="53"/>
      <c r="B19" s="31" t="s">
        <v>34</v>
      </c>
      <c r="C19" s="32">
        <f t="shared" ref="C19:K19" si="13">IF(C18=0,0,IF(C18-C6=-3,3,IF(C18-C6=-2,1.5,IF(C18-C6=-1,0.8,IF(C18-C6=0,0.4,IF(C18-C6=1,0,IF(C18-C6&lt;=2&gt;15,0,_xludf.IF)))))))</f>
        <v>0.4</v>
      </c>
      <c r="D19" s="32">
        <f t="shared" si="13"/>
        <v>0.4</v>
      </c>
      <c r="E19" s="32">
        <f t="shared" si="13"/>
        <v>0</v>
      </c>
      <c r="F19" s="32">
        <f t="shared" si="13"/>
        <v>0.4</v>
      </c>
      <c r="G19" s="32">
        <f t="shared" si="13"/>
        <v>0.4</v>
      </c>
      <c r="H19" s="32">
        <f t="shared" si="13"/>
        <v>0.4</v>
      </c>
      <c r="I19" s="32">
        <f t="shared" si="13"/>
        <v>0</v>
      </c>
      <c r="J19" s="32">
        <f t="shared" si="13"/>
        <v>0.8</v>
      </c>
      <c r="K19" s="32">
        <f t="shared" si="13"/>
        <v>0.4</v>
      </c>
      <c r="L19" s="32">
        <f t="shared" si="1"/>
        <v>3.1999999999999997</v>
      </c>
      <c r="M19" s="31" t="s">
        <v>34</v>
      </c>
      <c r="N19" s="32">
        <f t="shared" ref="N19:V19" si="14">IF(N18=0,0,IF(N18-N6=-3,3,IF(N18-N6=-2,1.5,IF(N18-N6=-1,0.8,IF(N18-N6=0,0.4,IF(N18-N6=1,0,IF(N18-N6&lt;=2&gt;15,0,_xludf.IF)))))))</f>
        <v>0.4</v>
      </c>
      <c r="O19" s="32">
        <f t="shared" si="14"/>
        <v>0.4</v>
      </c>
      <c r="P19" s="32">
        <f t="shared" si="14"/>
        <v>0</v>
      </c>
      <c r="Q19" s="32">
        <f t="shared" si="14"/>
        <v>0</v>
      </c>
      <c r="R19" s="32">
        <f t="shared" si="14"/>
        <v>0</v>
      </c>
      <c r="S19" s="32">
        <f t="shared" si="14"/>
        <v>0</v>
      </c>
      <c r="T19" s="32">
        <f t="shared" si="14"/>
        <v>0</v>
      </c>
      <c r="U19" s="32">
        <f t="shared" si="14"/>
        <v>0.4</v>
      </c>
      <c r="V19" s="32">
        <f t="shared" si="14"/>
        <v>0</v>
      </c>
      <c r="W19" s="32">
        <f t="shared" si="2"/>
        <v>1.2000000000000002</v>
      </c>
      <c r="X19" s="30">
        <f t="shared" si="0"/>
        <v>4.4000000000000004</v>
      </c>
    </row>
    <row r="20" spans="1:24" s="3" customFormat="1" ht="15.95" customHeight="1">
      <c r="A20" s="76" t="s">
        <v>17</v>
      </c>
      <c r="B20" s="62" t="s">
        <v>32</v>
      </c>
      <c r="C20" s="59">
        <v>7</v>
      </c>
      <c r="D20" s="59">
        <v>5</v>
      </c>
      <c r="E20" s="59">
        <v>5</v>
      </c>
      <c r="F20" s="59">
        <v>4</v>
      </c>
      <c r="G20" s="59">
        <v>6</v>
      </c>
      <c r="H20" s="59">
        <v>7</v>
      </c>
      <c r="I20" s="59">
        <v>3</v>
      </c>
      <c r="J20" s="59">
        <v>7</v>
      </c>
      <c r="K20" s="59">
        <v>4</v>
      </c>
      <c r="L20" s="26">
        <f>SUM(C20:K20)</f>
        <v>48</v>
      </c>
      <c r="M20" s="62" t="s">
        <v>32</v>
      </c>
      <c r="N20" s="59">
        <v>4</v>
      </c>
      <c r="O20" s="59">
        <v>5</v>
      </c>
      <c r="P20" s="59">
        <v>5</v>
      </c>
      <c r="Q20" s="59">
        <v>5</v>
      </c>
      <c r="R20" s="59">
        <v>5</v>
      </c>
      <c r="S20" s="59">
        <v>4</v>
      </c>
      <c r="T20" s="59">
        <v>7</v>
      </c>
      <c r="U20" s="59">
        <v>4</v>
      </c>
      <c r="V20" s="59">
        <v>6</v>
      </c>
      <c r="W20" s="26">
        <f>SUM(N20:V20)</f>
        <v>45</v>
      </c>
      <c r="X20" s="33">
        <f t="shared" si="0"/>
        <v>93</v>
      </c>
    </row>
    <row r="21" spans="1:24" s="29" customFormat="1" ht="15.95" customHeight="1">
      <c r="A21" s="77">
        <v>14</v>
      </c>
      <c r="B21" s="27" t="s">
        <v>31</v>
      </c>
      <c r="C21" s="28">
        <v>-1</v>
      </c>
      <c r="D21" s="28">
        <v>-1</v>
      </c>
      <c r="E21" s="28"/>
      <c r="F21" s="69">
        <v>-1</v>
      </c>
      <c r="G21" s="69">
        <v>-1</v>
      </c>
      <c r="H21" s="69">
        <v>-1</v>
      </c>
      <c r="I21" s="69"/>
      <c r="J21" s="69">
        <v>-1</v>
      </c>
      <c r="K21" s="69">
        <v>-1</v>
      </c>
      <c r="L21" s="24">
        <f t="shared" si="1"/>
        <v>-7</v>
      </c>
      <c r="M21" s="27" t="s">
        <v>31</v>
      </c>
      <c r="N21" s="69">
        <v>-1</v>
      </c>
      <c r="O21" s="69">
        <v>-1</v>
      </c>
      <c r="P21" s="69"/>
      <c r="Q21" s="69">
        <v>-1</v>
      </c>
      <c r="R21" s="69">
        <v>-1</v>
      </c>
      <c r="S21" s="69">
        <v>-1</v>
      </c>
      <c r="T21" s="69">
        <v>-1</v>
      </c>
      <c r="U21" s="69"/>
      <c r="V21" s="69">
        <v>-1</v>
      </c>
      <c r="W21" s="24">
        <f t="shared" si="2"/>
        <v>-7</v>
      </c>
      <c r="X21" s="25">
        <f t="shared" si="0"/>
        <v>-14</v>
      </c>
    </row>
    <row r="22" spans="1:24" s="3" customFormat="1" ht="15.95" customHeight="1">
      <c r="A22" s="37"/>
      <c r="B22" s="60" t="s">
        <v>33</v>
      </c>
      <c r="C22" s="66">
        <f t="shared" ref="C22:K22" si="15">SUM(C20:C21)</f>
        <v>6</v>
      </c>
      <c r="D22" s="66">
        <f t="shared" si="15"/>
        <v>4</v>
      </c>
      <c r="E22" s="66">
        <f t="shared" si="15"/>
        <v>5</v>
      </c>
      <c r="F22" s="66">
        <f t="shared" si="15"/>
        <v>3</v>
      </c>
      <c r="G22" s="66">
        <f t="shared" si="15"/>
        <v>5</v>
      </c>
      <c r="H22" s="66">
        <f t="shared" si="15"/>
        <v>6</v>
      </c>
      <c r="I22" s="66">
        <f t="shared" si="15"/>
        <v>3</v>
      </c>
      <c r="J22" s="66">
        <f t="shared" si="15"/>
        <v>6</v>
      </c>
      <c r="K22" s="66">
        <f t="shared" si="15"/>
        <v>3</v>
      </c>
      <c r="L22" s="22">
        <f t="shared" si="1"/>
        <v>41</v>
      </c>
      <c r="M22" s="60" t="s">
        <v>33</v>
      </c>
      <c r="N22" s="66">
        <f t="shared" ref="N22:V22" si="16">SUM(N20:N21)</f>
        <v>3</v>
      </c>
      <c r="O22" s="66">
        <f t="shared" si="16"/>
        <v>4</v>
      </c>
      <c r="P22" s="66">
        <f t="shared" si="16"/>
        <v>5</v>
      </c>
      <c r="Q22" s="66">
        <f t="shared" si="16"/>
        <v>4</v>
      </c>
      <c r="R22" s="66">
        <f t="shared" si="16"/>
        <v>4</v>
      </c>
      <c r="S22" s="66">
        <f t="shared" si="16"/>
        <v>3</v>
      </c>
      <c r="T22" s="66">
        <f t="shared" si="16"/>
        <v>6</v>
      </c>
      <c r="U22" s="66">
        <f t="shared" si="16"/>
        <v>4</v>
      </c>
      <c r="V22" s="66">
        <f t="shared" si="16"/>
        <v>5</v>
      </c>
      <c r="W22" s="22">
        <f t="shared" si="2"/>
        <v>38</v>
      </c>
      <c r="X22" s="15">
        <f t="shared" si="0"/>
        <v>79</v>
      </c>
    </row>
    <row r="23" spans="1:24" s="3" customFormat="1" ht="15.95" customHeight="1" thickBot="1">
      <c r="A23" s="53"/>
      <c r="B23" s="31" t="s">
        <v>34</v>
      </c>
      <c r="C23" s="32">
        <f t="shared" ref="C23:K23" si="17">IF(C22=0,0,IF(C22-C6=-3,3,IF(C22-C6=-2,1.5,IF(C22-C6=-1,0.8,IF(C22-C6=0,0.4,IF(C22-C6=1,0,IF(C22-C6&lt;=2&gt;15,0,_xludf.IF)))))))</f>
        <v>0</v>
      </c>
      <c r="D23" s="32">
        <f>IF(D22=0,0,IF(D22-D6=-3,3,IF(D22-D6=-2,1.5,IF(D22-D6=-1,0.8,IF(D22-D6=0,0.4,IF(D22-D6=1,0,IF(D22-D6&lt;=2&gt;15,0,_xludf.IF)))))))</f>
        <v>0.4</v>
      </c>
      <c r="E23" s="32">
        <f t="shared" si="17"/>
        <v>0</v>
      </c>
      <c r="F23" s="32">
        <f t="shared" si="17"/>
        <v>0.8</v>
      </c>
      <c r="G23" s="32">
        <f t="shared" si="17"/>
        <v>0</v>
      </c>
      <c r="H23" s="32">
        <f t="shared" si="17"/>
        <v>0</v>
      </c>
      <c r="I23" s="32">
        <f t="shared" si="17"/>
        <v>0.4</v>
      </c>
      <c r="J23" s="32">
        <f t="shared" si="17"/>
        <v>0</v>
      </c>
      <c r="K23" s="32">
        <f t="shared" si="17"/>
        <v>0.8</v>
      </c>
      <c r="L23" s="32">
        <f t="shared" si="1"/>
        <v>2.4000000000000004</v>
      </c>
      <c r="M23" s="31" t="s">
        <v>34</v>
      </c>
      <c r="N23" s="32">
        <f t="shared" ref="N23:V23" si="18">IF(N22=0,0,IF(N22-N6=-3,3,IF(N22-N6=-2,1.5,IF(N22-N6=-1,0.8,IF(N22-N6=0,0.4,IF(N22-N6=1,0,IF(N22-N6&lt;=2&gt;15,0,_xludf.IF)))))))</f>
        <v>0.8</v>
      </c>
      <c r="O23" s="32">
        <f t="shared" si="18"/>
        <v>0.4</v>
      </c>
      <c r="P23" s="32">
        <f t="shared" si="18"/>
        <v>0</v>
      </c>
      <c r="Q23" s="32">
        <f t="shared" si="18"/>
        <v>0.4</v>
      </c>
      <c r="R23" s="32">
        <f t="shared" si="18"/>
        <v>0.8</v>
      </c>
      <c r="S23" s="32">
        <f t="shared" si="18"/>
        <v>0.8</v>
      </c>
      <c r="T23" s="32">
        <f t="shared" si="18"/>
        <v>0</v>
      </c>
      <c r="U23" s="32">
        <f t="shared" si="18"/>
        <v>0</v>
      </c>
      <c r="V23" s="32">
        <f t="shared" si="18"/>
        <v>0.4</v>
      </c>
      <c r="W23" s="32">
        <f t="shared" si="2"/>
        <v>3.6</v>
      </c>
      <c r="X23" s="30">
        <f t="shared" si="0"/>
        <v>6</v>
      </c>
    </row>
    <row r="24" spans="1:24" s="3" customFormat="1" ht="15.95" customHeight="1">
      <c r="A24" s="78" t="s">
        <v>36</v>
      </c>
      <c r="B24" s="62" t="s">
        <v>32</v>
      </c>
      <c r="C24" s="59">
        <v>7</v>
      </c>
      <c r="D24" s="59">
        <v>5</v>
      </c>
      <c r="E24" s="59">
        <v>3</v>
      </c>
      <c r="F24" s="59">
        <v>5</v>
      </c>
      <c r="G24" s="59">
        <v>5</v>
      </c>
      <c r="H24" s="59">
        <v>6</v>
      </c>
      <c r="I24" s="59">
        <v>4</v>
      </c>
      <c r="J24" s="59">
        <v>5</v>
      </c>
      <c r="K24" s="59">
        <v>8</v>
      </c>
      <c r="L24" s="26">
        <f>SUM(C24:K24)</f>
        <v>48</v>
      </c>
      <c r="M24" s="62" t="s">
        <v>32</v>
      </c>
      <c r="N24" s="59">
        <v>4</v>
      </c>
      <c r="O24" s="59">
        <v>7</v>
      </c>
      <c r="P24" s="59">
        <v>4</v>
      </c>
      <c r="Q24" s="59">
        <v>5</v>
      </c>
      <c r="R24" s="59">
        <v>6</v>
      </c>
      <c r="S24" s="59">
        <v>5</v>
      </c>
      <c r="T24" s="59">
        <v>5</v>
      </c>
      <c r="U24" s="59">
        <v>4</v>
      </c>
      <c r="V24" s="59">
        <v>6</v>
      </c>
      <c r="W24" s="26">
        <f>SUM(N24:V24)</f>
        <v>46</v>
      </c>
      <c r="X24" s="33">
        <f t="shared" si="0"/>
        <v>94</v>
      </c>
    </row>
    <row r="25" spans="1:24" s="29" customFormat="1" ht="15.95" customHeight="1">
      <c r="A25" s="79">
        <v>4</v>
      </c>
      <c r="B25" s="27" t="s">
        <v>31</v>
      </c>
      <c r="C25" s="28"/>
      <c r="D25" s="28"/>
      <c r="E25" s="28"/>
      <c r="F25" s="28"/>
      <c r="G25" s="28"/>
      <c r="H25" s="28">
        <v>-1</v>
      </c>
      <c r="I25" s="28"/>
      <c r="J25" s="28">
        <v>-1</v>
      </c>
      <c r="K25" s="28"/>
      <c r="L25" s="24">
        <f t="shared" si="1"/>
        <v>-2</v>
      </c>
      <c r="M25" s="27" t="s">
        <v>31</v>
      </c>
      <c r="N25" s="69"/>
      <c r="O25" s="28"/>
      <c r="P25" s="28"/>
      <c r="Q25" s="28"/>
      <c r="R25" s="69"/>
      <c r="S25" s="28"/>
      <c r="T25" s="28">
        <v>-1</v>
      </c>
      <c r="U25" s="28"/>
      <c r="V25" s="28">
        <v>-1</v>
      </c>
      <c r="W25" s="24">
        <f t="shared" si="2"/>
        <v>-2</v>
      </c>
      <c r="X25" s="25">
        <f t="shared" si="0"/>
        <v>-4</v>
      </c>
    </row>
    <row r="26" spans="1:24" s="3" customFormat="1" ht="15.95" customHeight="1">
      <c r="A26" s="37"/>
      <c r="B26" s="60" t="s">
        <v>33</v>
      </c>
      <c r="C26" s="66">
        <f t="shared" ref="C26:K26" si="19">SUM(C24:C25)</f>
        <v>7</v>
      </c>
      <c r="D26" s="66">
        <f t="shared" si="19"/>
        <v>5</v>
      </c>
      <c r="E26" s="66">
        <f t="shared" si="19"/>
        <v>3</v>
      </c>
      <c r="F26" s="66">
        <f t="shared" si="19"/>
        <v>5</v>
      </c>
      <c r="G26" s="66">
        <f t="shared" si="19"/>
        <v>5</v>
      </c>
      <c r="H26" s="66">
        <f t="shared" si="19"/>
        <v>5</v>
      </c>
      <c r="I26" s="66">
        <f t="shared" si="19"/>
        <v>4</v>
      </c>
      <c r="J26" s="66">
        <f t="shared" si="19"/>
        <v>4</v>
      </c>
      <c r="K26" s="66">
        <f t="shared" si="19"/>
        <v>8</v>
      </c>
      <c r="L26" s="22">
        <f t="shared" si="1"/>
        <v>46</v>
      </c>
      <c r="M26" s="60" t="s">
        <v>33</v>
      </c>
      <c r="N26" s="66">
        <f t="shared" ref="N26:V26" si="20">SUM(N24:N25)</f>
        <v>4</v>
      </c>
      <c r="O26" s="66">
        <f t="shared" si="20"/>
        <v>7</v>
      </c>
      <c r="P26" s="66">
        <f t="shared" si="20"/>
        <v>4</v>
      </c>
      <c r="Q26" s="66">
        <f t="shared" si="20"/>
        <v>5</v>
      </c>
      <c r="R26" s="66">
        <f t="shared" si="20"/>
        <v>6</v>
      </c>
      <c r="S26" s="66">
        <f t="shared" si="20"/>
        <v>5</v>
      </c>
      <c r="T26" s="66">
        <f t="shared" si="20"/>
        <v>4</v>
      </c>
      <c r="U26" s="66">
        <f t="shared" si="20"/>
        <v>4</v>
      </c>
      <c r="V26" s="66">
        <f t="shared" si="20"/>
        <v>5</v>
      </c>
      <c r="W26" s="22">
        <f t="shared" si="2"/>
        <v>44</v>
      </c>
      <c r="X26" s="15">
        <f t="shared" si="0"/>
        <v>90</v>
      </c>
    </row>
    <row r="27" spans="1:24" s="3" customFormat="1" ht="15.95" customHeight="1" thickBot="1">
      <c r="A27" s="53"/>
      <c r="B27" s="31" t="s">
        <v>34</v>
      </c>
      <c r="C27" s="32">
        <f t="shared" ref="C27:K27" si="21">IF(C26=0,0,IF(C26-C6=-3,3,IF(C26-C6=-2,1.5,IF(C26-C6=-1,0.8,IF(C26-C6=0,0.4,IF(C26-C6=1,0,IF(C26-C6&lt;=2&gt;15,0,_xludf.IF)))))))</f>
        <v>0</v>
      </c>
      <c r="D27" s="32">
        <f t="shared" si="21"/>
        <v>0</v>
      </c>
      <c r="E27" s="32">
        <f t="shared" si="21"/>
        <v>0.4</v>
      </c>
      <c r="F27" s="32">
        <f t="shared" si="21"/>
        <v>0</v>
      </c>
      <c r="G27" s="32">
        <f t="shared" si="21"/>
        <v>0</v>
      </c>
      <c r="H27" s="32">
        <f t="shared" si="21"/>
        <v>0</v>
      </c>
      <c r="I27" s="32">
        <f t="shared" si="21"/>
        <v>0</v>
      </c>
      <c r="J27" s="32">
        <f t="shared" si="21"/>
        <v>0.8</v>
      </c>
      <c r="K27" s="32">
        <f t="shared" si="21"/>
        <v>0</v>
      </c>
      <c r="L27" s="32">
        <f t="shared" si="1"/>
        <v>1.2000000000000002</v>
      </c>
      <c r="M27" s="31" t="s">
        <v>34</v>
      </c>
      <c r="N27" s="32">
        <f t="shared" ref="N27:V27" si="22">IF(N26=0,0,IF(N26-N6=-3,3,IF(N26-N6=-2,1.5,IF(N26-N6=-1,0.8,IF(N26-N6=0,0.4,IF(N26-N6=1,0,IF(N26-N6&lt;=2&gt;15,0,_xludf.IF)))))))</f>
        <v>0.4</v>
      </c>
      <c r="O27" s="32">
        <f t="shared" si="22"/>
        <v>0</v>
      </c>
      <c r="P27" s="32">
        <f t="shared" si="22"/>
        <v>0</v>
      </c>
      <c r="Q27" s="32">
        <f t="shared" si="22"/>
        <v>0</v>
      </c>
      <c r="R27" s="32">
        <f t="shared" si="22"/>
        <v>0</v>
      </c>
      <c r="S27" s="32">
        <f t="shared" si="22"/>
        <v>0</v>
      </c>
      <c r="T27" s="32">
        <f t="shared" si="22"/>
        <v>0.4</v>
      </c>
      <c r="U27" s="32">
        <f t="shared" si="22"/>
        <v>0</v>
      </c>
      <c r="V27" s="32">
        <f t="shared" si="22"/>
        <v>0.4</v>
      </c>
      <c r="W27" s="32">
        <f t="shared" si="2"/>
        <v>1.2000000000000002</v>
      </c>
      <c r="X27" s="30">
        <f t="shared" si="0"/>
        <v>2.4000000000000004</v>
      </c>
    </row>
    <row r="28" spans="1:24" s="3" customFormat="1" ht="15.95" customHeight="1">
      <c r="A28" s="78" t="s">
        <v>37</v>
      </c>
      <c r="B28" s="62" t="s">
        <v>32</v>
      </c>
      <c r="C28" s="59">
        <v>5</v>
      </c>
      <c r="D28" s="59">
        <v>5</v>
      </c>
      <c r="E28" s="59">
        <v>4</v>
      </c>
      <c r="F28" s="59">
        <v>5</v>
      </c>
      <c r="G28" s="59">
        <v>4</v>
      </c>
      <c r="H28" s="59">
        <v>4</v>
      </c>
      <c r="I28" s="59">
        <v>5</v>
      </c>
      <c r="J28" s="59">
        <v>4</v>
      </c>
      <c r="K28" s="59">
        <v>6</v>
      </c>
      <c r="L28" s="26">
        <f>SUM(C28:K28)</f>
        <v>42</v>
      </c>
      <c r="M28" s="62" t="s">
        <v>32</v>
      </c>
      <c r="N28" s="59">
        <v>5</v>
      </c>
      <c r="O28" s="59">
        <v>8</v>
      </c>
      <c r="P28" s="59">
        <v>2</v>
      </c>
      <c r="Q28" s="59">
        <v>5</v>
      </c>
      <c r="R28" s="59">
        <v>5</v>
      </c>
      <c r="S28" s="59">
        <v>5</v>
      </c>
      <c r="T28" s="59">
        <v>5</v>
      </c>
      <c r="U28" s="59">
        <v>3</v>
      </c>
      <c r="V28" s="59">
        <v>6</v>
      </c>
      <c r="W28" s="26">
        <f>SUM(N28:V28)</f>
        <v>44</v>
      </c>
      <c r="X28" s="33">
        <f t="shared" si="0"/>
        <v>86</v>
      </c>
    </row>
    <row r="29" spans="1:24" s="29" customFormat="1" ht="15.95" customHeight="1">
      <c r="A29" s="79">
        <v>6</v>
      </c>
      <c r="B29" s="27" t="s">
        <v>31</v>
      </c>
      <c r="C29" s="69">
        <v>-1</v>
      </c>
      <c r="D29" s="69"/>
      <c r="E29" s="28"/>
      <c r="F29" s="28"/>
      <c r="G29" s="28"/>
      <c r="H29" s="69">
        <v>-1</v>
      </c>
      <c r="I29" s="69"/>
      <c r="J29" s="69">
        <v>-1</v>
      </c>
      <c r="K29" s="28"/>
      <c r="L29" s="24">
        <f t="shared" si="1"/>
        <v>-3</v>
      </c>
      <c r="M29" s="27" t="s">
        <v>31</v>
      </c>
      <c r="N29" s="28"/>
      <c r="O29" s="28">
        <v>-1</v>
      </c>
      <c r="P29" s="28"/>
      <c r="Q29" s="69"/>
      <c r="R29" s="28"/>
      <c r="S29" s="28"/>
      <c r="T29" s="28">
        <v>-1</v>
      </c>
      <c r="U29" s="28"/>
      <c r="V29" s="28">
        <v>-1</v>
      </c>
      <c r="W29" s="24">
        <f t="shared" si="2"/>
        <v>-3</v>
      </c>
      <c r="X29" s="25">
        <f t="shared" si="0"/>
        <v>-6</v>
      </c>
    </row>
    <row r="30" spans="1:24" s="3" customFormat="1" ht="15.95" customHeight="1">
      <c r="A30" s="37"/>
      <c r="B30" s="60" t="s">
        <v>33</v>
      </c>
      <c r="C30" s="66">
        <f t="shared" ref="C30:K30" si="23">SUM(C28:C29)</f>
        <v>4</v>
      </c>
      <c r="D30" s="66">
        <f t="shared" si="23"/>
        <v>5</v>
      </c>
      <c r="E30" s="66">
        <f t="shared" si="23"/>
        <v>4</v>
      </c>
      <c r="F30" s="66">
        <f t="shared" si="23"/>
        <v>5</v>
      </c>
      <c r="G30" s="66">
        <f t="shared" si="23"/>
        <v>4</v>
      </c>
      <c r="H30" s="66">
        <f t="shared" si="23"/>
        <v>3</v>
      </c>
      <c r="I30" s="66">
        <f t="shared" si="23"/>
        <v>5</v>
      </c>
      <c r="J30" s="66">
        <f t="shared" si="23"/>
        <v>3</v>
      </c>
      <c r="K30" s="66">
        <f t="shared" si="23"/>
        <v>6</v>
      </c>
      <c r="L30" s="22">
        <f t="shared" si="1"/>
        <v>39</v>
      </c>
      <c r="M30" s="60" t="s">
        <v>33</v>
      </c>
      <c r="N30" s="66">
        <f t="shared" ref="N30:V30" si="24">SUM(N28:N29)</f>
        <v>5</v>
      </c>
      <c r="O30" s="66">
        <f t="shared" si="24"/>
        <v>7</v>
      </c>
      <c r="P30" s="66">
        <f t="shared" si="24"/>
        <v>2</v>
      </c>
      <c r="Q30" s="66">
        <f t="shared" si="24"/>
        <v>5</v>
      </c>
      <c r="R30" s="66">
        <f t="shared" si="24"/>
        <v>5</v>
      </c>
      <c r="S30" s="66">
        <f t="shared" si="24"/>
        <v>5</v>
      </c>
      <c r="T30" s="66">
        <f t="shared" si="24"/>
        <v>4</v>
      </c>
      <c r="U30" s="66">
        <f t="shared" si="24"/>
        <v>3</v>
      </c>
      <c r="V30" s="66">
        <f t="shared" si="24"/>
        <v>5</v>
      </c>
      <c r="W30" s="22">
        <f t="shared" si="2"/>
        <v>41</v>
      </c>
      <c r="X30" s="15">
        <f t="shared" si="0"/>
        <v>80</v>
      </c>
    </row>
    <row r="31" spans="1:24" s="3" customFormat="1" ht="15.95" customHeight="1" thickBot="1">
      <c r="A31" s="53"/>
      <c r="B31" s="31" t="s">
        <v>34</v>
      </c>
      <c r="C31" s="32">
        <f t="shared" ref="C31:K31" si="25">IF(C30=0,0,IF(C30-C6=-3,3,IF(C30-C6=-2,1.5,IF(C30-C6=-1,0.8,IF(C30-C6=0,0.4,IF(C30-C6=1,0,IF(C30-C6&lt;=2&gt;15,0,_xludf.IF)))))))</f>
        <v>0.4</v>
      </c>
      <c r="D31" s="32">
        <f t="shared" si="25"/>
        <v>0</v>
      </c>
      <c r="E31" s="32">
        <f t="shared" si="25"/>
        <v>0</v>
      </c>
      <c r="F31" s="32">
        <f t="shared" si="25"/>
        <v>0</v>
      </c>
      <c r="G31" s="32">
        <f t="shared" si="25"/>
        <v>0.4</v>
      </c>
      <c r="H31" s="32">
        <f t="shared" si="25"/>
        <v>0.8</v>
      </c>
      <c r="I31" s="32">
        <f t="shared" si="25"/>
        <v>0</v>
      </c>
      <c r="J31" s="32">
        <f t="shared" si="25"/>
        <v>1.5</v>
      </c>
      <c r="K31" s="32">
        <f t="shared" si="25"/>
        <v>0</v>
      </c>
      <c r="L31" s="32">
        <f t="shared" si="1"/>
        <v>3.1</v>
      </c>
      <c r="M31" s="31" t="s">
        <v>34</v>
      </c>
      <c r="N31" s="32">
        <f t="shared" ref="N31:V31" si="26">IF(N30=0,0,IF(N30-N6=-3,3,IF(N30-N6=-2,1.5,IF(N30-N6=-1,0.8,IF(N30-N6=0,0.4,IF(N30-N6=1,0,IF(N30-N6&lt;=2&gt;15,0,_xludf.IF)))))))</f>
        <v>0</v>
      </c>
      <c r="O31" s="32">
        <f t="shared" si="26"/>
        <v>0</v>
      </c>
      <c r="P31" s="32">
        <f t="shared" si="26"/>
        <v>0.8</v>
      </c>
      <c r="Q31" s="32">
        <f t="shared" si="26"/>
        <v>0</v>
      </c>
      <c r="R31" s="32">
        <f t="shared" si="26"/>
        <v>0.4</v>
      </c>
      <c r="S31" s="32">
        <f t="shared" si="26"/>
        <v>0</v>
      </c>
      <c r="T31" s="32">
        <f t="shared" si="26"/>
        <v>0.4</v>
      </c>
      <c r="U31" s="32">
        <f t="shared" si="26"/>
        <v>0.4</v>
      </c>
      <c r="V31" s="32">
        <f t="shared" si="26"/>
        <v>0.4</v>
      </c>
      <c r="W31" s="32">
        <f t="shared" si="2"/>
        <v>2.4</v>
      </c>
      <c r="X31" s="30">
        <f t="shared" si="0"/>
        <v>5.5</v>
      </c>
    </row>
    <row r="32" spans="1:24" s="3" customFormat="1" ht="15.95" customHeight="1">
      <c r="A32" s="78" t="s">
        <v>8</v>
      </c>
      <c r="B32" s="62" t="s">
        <v>32</v>
      </c>
      <c r="C32" s="59">
        <v>7</v>
      </c>
      <c r="D32" s="59">
        <v>6</v>
      </c>
      <c r="E32" s="59">
        <v>3</v>
      </c>
      <c r="F32" s="59">
        <v>5</v>
      </c>
      <c r="G32" s="59">
        <v>4</v>
      </c>
      <c r="H32" s="59">
        <v>5</v>
      </c>
      <c r="I32" s="59">
        <v>2</v>
      </c>
      <c r="J32" s="59">
        <v>6</v>
      </c>
      <c r="K32" s="59">
        <v>4</v>
      </c>
      <c r="L32" s="26">
        <f>SUM(C32:K32)</f>
        <v>42</v>
      </c>
      <c r="M32" s="62" t="s">
        <v>32</v>
      </c>
      <c r="N32" s="59">
        <v>5</v>
      </c>
      <c r="O32" s="59">
        <v>3</v>
      </c>
      <c r="P32" s="59">
        <v>4</v>
      </c>
      <c r="Q32" s="59">
        <v>4</v>
      </c>
      <c r="R32" s="59">
        <v>7</v>
      </c>
      <c r="S32" s="59">
        <v>4</v>
      </c>
      <c r="T32" s="59">
        <v>7</v>
      </c>
      <c r="U32" s="59">
        <v>4</v>
      </c>
      <c r="V32" s="59">
        <v>5</v>
      </c>
      <c r="W32" s="26">
        <f>SUM(N32:V32)</f>
        <v>43</v>
      </c>
      <c r="X32" s="33">
        <f t="shared" si="0"/>
        <v>85</v>
      </c>
    </row>
    <row r="33" spans="1:24" s="29" customFormat="1" ht="15.95" customHeight="1">
      <c r="A33" s="79">
        <v>8</v>
      </c>
      <c r="B33" s="27" t="s">
        <v>31</v>
      </c>
      <c r="C33" s="28">
        <v>-1</v>
      </c>
      <c r="D33" s="28"/>
      <c r="E33" s="69"/>
      <c r="F33" s="28"/>
      <c r="G33" s="69">
        <v>-1</v>
      </c>
      <c r="H33" s="28">
        <v>-1</v>
      </c>
      <c r="I33" s="69"/>
      <c r="J33" s="28">
        <v>-1</v>
      </c>
      <c r="K33" s="69"/>
      <c r="L33" s="24">
        <f t="shared" si="1"/>
        <v>-4</v>
      </c>
      <c r="M33" s="27" t="s">
        <v>31</v>
      </c>
      <c r="N33" s="28"/>
      <c r="O33" s="69">
        <v>-1</v>
      </c>
      <c r="P33" s="28"/>
      <c r="Q33" s="69">
        <v>-1</v>
      </c>
      <c r="R33" s="28"/>
      <c r="S33" s="69"/>
      <c r="T33" s="28">
        <v>-1</v>
      </c>
      <c r="U33" s="69"/>
      <c r="V33" s="28">
        <v>-1</v>
      </c>
      <c r="W33" s="24">
        <f t="shared" si="2"/>
        <v>-4</v>
      </c>
      <c r="X33" s="25">
        <f t="shared" si="0"/>
        <v>-8</v>
      </c>
    </row>
    <row r="34" spans="1:24" s="3" customFormat="1" ht="15.95" customHeight="1">
      <c r="A34" s="37"/>
      <c r="B34" s="60" t="s">
        <v>33</v>
      </c>
      <c r="C34" s="66">
        <f t="shared" ref="C34:K34" si="27">SUM(C32:C33)</f>
        <v>6</v>
      </c>
      <c r="D34" s="66">
        <f t="shared" si="27"/>
        <v>6</v>
      </c>
      <c r="E34" s="66">
        <f t="shared" si="27"/>
        <v>3</v>
      </c>
      <c r="F34" s="66">
        <f t="shared" si="27"/>
        <v>5</v>
      </c>
      <c r="G34" s="66">
        <f t="shared" si="27"/>
        <v>3</v>
      </c>
      <c r="H34" s="66">
        <f t="shared" si="27"/>
        <v>4</v>
      </c>
      <c r="I34" s="66">
        <f t="shared" si="27"/>
        <v>2</v>
      </c>
      <c r="J34" s="66">
        <f t="shared" si="27"/>
        <v>5</v>
      </c>
      <c r="K34" s="66">
        <f t="shared" si="27"/>
        <v>4</v>
      </c>
      <c r="L34" s="22">
        <f t="shared" si="1"/>
        <v>38</v>
      </c>
      <c r="M34" s="60" t="s">
        <v>33</v>
      </c>
      <c r="N34" s="66">
        <f t="shared" ref="N34:V34" si="28">SUM(N32:N33)</f>
        <v>5</v>
      </c>
      <c r="O34" s="66">
        <f t="shared" si="28"/>
        <v>2</v>
      </c>
      <c r="P34" s="66">
        <f t="shared" si="28"/>
        <v>4</v>
      </c>
      <c r="Q34" s="66">
        <f t="shared" si="28"/>
        <v>3</v>
      </c>
      <c r="R34" s="66">
        <f t="shared" si="28"/>
        <v>7</v>
      </c>
      <c r="S34" s="66">
        <f t="shared" si="28"/>
        <v>4</v>
      </c>
      <c r="T34" s="66">
        <f t="shared" si="28"/>
        <v>6</v>
      </c>
      <c r="U34" s="66">
        <f t="shared" si="28"/>
        <v>4</v>
      </c>
      <c r="V34" s="66">
        <f t="shared" si="28"/>
        <v>4</v>
      </c>
      <c r="W34" s="22">
        <f t="shared" si="2"/>
        <v>39</v>
      </c>
      <c r="X34" s="15">
        <f t="shared" si="0"/>
        <v>77</v>
      </c>
    </row>
    <row r="35" spans="1:24" s="3" customFormat="1" ht="15.95" customHeight="1" thickBot="1">
      <c r="A35" s="53"/>
      <c r="B35" s="31" t="s">
        <v>34</v>
      </c>
      <c r="C35" s="32">
        <f t="shared" ref="C35:K35" si="29">IF(C34=0,0,IF(C34-C6=-3,3,IF(C34-C6=-2,1.5,IF(C34-C6=-1,0.8,IF(C34-C6=0,0.4,IF(C34-C6=1,0,IF(C34-C6&lt;=2&gt;15,0,_xludf.IF)))))))</f>
        <v>0</v>
      </c>
      <c r="D35" s="32">
        <f t="shared" si="29"/>
        <v>0</v>
      </c>
      <c r="E35" s="32">
        <f t="shared" si="29"/>
        <v>0.4</v>
      </c>
      <c r="F35" s="32">
        <f t="shared" si="29"/>
        <v>0</v>
      </c>
      <c r="G35" s="32">
        <f t="shared" si="29"/>
        <v>0.8</v>
      </c>
      <c r="H35" s="32">
        <f t="shared" si="29"/>
        <v>0.4</v>
      </c>
      <c r="I35" s="32">
        <f t="shared" si="29"/>
        <v>0.8</v>
      </c>
      <c r="J35" s="32">
        <f t="shared" si="29"/>
        <v>0.4</v>
      </c>
      <c r="K35" s="32">
        <f t="shared" si="29"/>
        <v>0.4</v>
      </c>
      <c r="L35" s="32">
        <f t="shared" si="1"/>
        <v>3.2</v>
      </c>
      <c r="M35" s="31" t="s">
        <v>34</v>
      </c>
      <c r="N35" s="32">
        <f t="shared" ref="N35:V35" si="30">IF(N34=0,0,IF(N34-N6=-3,3,IF(N34-N6=-2,1.5,IF(N34-N6=-1,0.8,IF(N34-N6=0,0.4,IF(N34-N6=1,0,IF(N34-N6&lt;=2&gt;15,0,_xludf.IF)))))))</f>
        <v>0</v>
      </c>
      <c r="O35" s="32">
        <f t="shared" si="30"/>
        <v>1.5</v>
      </c>
      <c r="P35" s="32">
        <f t="shared" si="30"/>
        <v>0</v>
      </c>
      <c r="Q35" s="32">
        <f t="shared" si="30"/>
        <v>0.8</v>
      </c>
      <c r="R35" s="32">
        <f t="shared" si="30"/>
        <v>0</v>
      </c>
      <c r="S35" s="32">
        <f t="shared" si="30"/>
        <v>0.4</v>
      </c>
      <c r="T35" s="32">
        <f t="shared" si="30"/>
        <v>0</v>
      </c>
      <c r="U35" s="32">
        <f t="shared" si="30"/>
        <v>0</v>
      </c>
      <c r="V35" s="32">
        <f t="shared" si="30"/>
        <v>0.8</v>
      </c>
      <c r="W35" s="32">
        <f t="shared" si="2"/>
        <v>3.5</v>
      </c>
      <c r="X35" s="30">
        <f t="shared" si="0"/>
        <v>6.7</v>
      </c>
    </row>
    <row r="36" spans="1:24" s="3" customFormat="1" ht="15.95" customHeight="1">
      <c r="A36" s="78" t="s">
        <v>18</v>
      </c>
      <c r="B36" s="62" t="s">
        <v>32</v>
      </c>
      <c r="C36" s="59">
        <v>6</v>
      </c>
      <c r="D36" s="59">
        <v>7</v>
      </c>
      <c r="E36" s="59">
        <v>4</v>
      </c>
      <c r="F36" s="59">
        <v>10</v>
      </c>
      <c r="G36" s="59">
        <v>6</v>
      </c>
      <c r="H36" s="59">
        <v>6</v>
      </c>
      <c r="I36" s="59">
        <v>3</v>
      </c>
      <c r="J36" s="59">
        <v>6</v>
      </c>
      <c r="K36" s="59">
        <v>5</v>
      </c>
      <c r="L36" s="26">
        <f>SUM(C36:K36)</f>
        <v>53</v>
      </c>
      <c r="M36" s="62" t="s">
        <v>32</v>
      </c>
      <c r="N36" s="59">
        <v>6</v>
      </c>
      <c r="O36" s="59">
        <v>6</v>
      </c>
      <c r="P36" s="59">
        <v>7</v>
      </c>
      <c r="Q36" s="59">
        <v>7</v>
      </c>
      <c r="R36" s="59">
        <v>8</v>
      </c>
      <c r="S36" s="59">
        <v>6</v>
      </c>
      <c r="T36" s="59">
        <v>8</v>
      </c>
      <c r="U36" s="59">
        <v>4</v>
      </c>
      <c r="V36" s="59">
        <v>6</v>
      </c>
      <c r="W36" s="26">
        <f>SUM(N36:V36)</f>
        <v>58</v>
      </c>
      <c r="X36" s="33">
        <f t="shared" si="0"/>
        <v>111</v>
      </c>
    </row>
    <row r="37" spans="1:24" s="29" customFormat="1" ht="15.95" customHeight="1">
      <c r="A37" s="79">
        <v>17</v>
      </c>
      <c r="B37" s="27" t="s">
        <v>31</v>
      </c>
      <c r="C37" s="28">
        <v>-1</v>
      </c>
      <c r="D37" s="28">
        <v>-1</v>
      </c>
      <c r="E37" s="28"/>
      <c r="F37" s="28">
        <v>-1</v>
      </c>
      <c r="G37" s="28">
        <v>-1</v>
      </c>
      <c r="H37" s="28">
        <v>-1</v>
      </c>
      <c r="I37" s="28">
        <v>-1</v>
      </c>
      <c r="J37" s="28">
        <v>-1</v>
      </c>
      <c r="K37" s="28">
        <v>-1</v>
      </c>
      <c r="L37" s="24">
        <f t="shared" si="1"/>
        <v>-8</v>
      </c>
      <c r="M37" s="27" t="s">
        <v>31</v>
      </c>
      <c r="N37" s="28">
        <v>-1</v>
      </c>
      <c r="O37" s="69">
        <v>-1</v>
      </c>
      <c r="P37" s="28">
        <v>-1</v>
      </c>
      <c r="Q37" s="69">
        <v>-1</v>
      </c>
      <c r="R37" s="28">
        <v>-1</v>
      </c>
      <c r="S37" s="69">
        <v>-1</v>
      </c>
      <c r="T37" s="28">
        <v>-1</v>
      </c>
      <c r="U37" s="69">
        <v>-1</v>
      </c>
      <c r="V37" s="28">
        <v>-1</v>
      </c>
      <c r="W37" s="24">
        <f t="shared" si="2"/>
        <v>-9</v>
      </c>
      <c r="X37" s="25">
        <f t="shared" si="0"/>
        <v>-17</v>
      </c>
    </row>
    <row r="38" spans="1:24" s="3" customFormat="1" ht="15.95" customHeight="1">
      <c r="A38" s="37"/>
      <c r="B38" s="60" t="s">
        <v>33</v>
      </c>
      <c r="C38" s="66">
        <f t="shared" ref="C38:K38" si="31">SUM(C36:C37)</f>
        <v>5</v>
      </c>
      <c r="D38" s="66">
        <f t="shared" si="31"/>
        <v>6</v>
      </c>
      <c r="E38" s="66">
        <f t="shared" si="31"/>
        <v>4</v>
      </c>
      <c r="F38" s="66">
        <f t="shared" si="31"/>
        <v>9</v>
      </c>
      <c r="G38" s="66">
        <f t="shared" si="31"/>
        <v>5</v>
      </c>
      <c r="H38" s="66">
        <f t="shared" si="31"/>
        <v>5</v>
      </c>
      <c r="I38" s="66">
        <f t="shared" si="31"/>
        <v>2</v>
      </c>
      <c r="J38" s="66">
        <f t="shared" si="31"/>
        <v>5</v>
      </c>
      <c r="K38" s="66">
        <f t="shared" si="31"/>
        <v>4</v>
      </c>
      <c r="L38" s="22">
        <f t="shared" si="1"/>
        <v>45</v>
      </c>
      <c r="M38" s="60" t="s">
        <v>33</v>
      </c>
      <c r="N38" s="66">
        <f t="shared" ref="N38:V38" si="32">SUM(N36:N37)</f>
        <v>5</v>
      </c>
      <c r="O38" s="66">
        <f t="shared" si="32"/>
        <v>5</v>
      </c>
      <c r="P38" s="66">
        <f t="shared" si="32"/>
        <v>6</v>
      </c>
      <c r="Q38" s="66">
        <f t="shared" si="32"/>
        <v>6</v>
      </c>
      <c r="R38" s="66">
        <f t="shared" si="32"/>
        <v>7</v>
      </c>
      <c r="S38" s="66">
        <f t="shared" si="32"/>
        <v>5</v>
      </c>
      <c r="T38" s="66">
        <f t="shared" si="32"/>
        <v>7</v>
      </c>
      <c r="U38" s="66">
        <f t="shared" si="32"/>
        <v>3</v>
      </c>
      <c r="V38" s="66">
        <f t="shared" si="32"/>
        <v>5</v>
      </c>
      <c r="W38" s="22">
        <f t="shared" si="2"/>
        <v>49</v>
      </c>
      <c r="X38" s="15">
        <f t="shared" si="0"/>
        <v>94</v>
      </c>
    </row>
    <row r="39" spans="1:24" s="3" customFormat="1" ht="15.95" customHeight="1" thickBot="1">
      <c r="A39" s="53"/>
      <c r="B39" s="31" t="s">
        <v>34</v>
      </c>
      <c r="C39" s="32">
        <f t="shared" ref="C39:K39" si="33">IF(C38=0,0,IF(C38-C6=-3,3,IF(C38-C6=-2,1.5,IF(C38-C6=-1,0.8,IF(C38-C6=0,0.4,IF(C38-C6=1,0,IF(C38-C6&lt;=2&gt;15,0,_xludf.IF)))))))</f>
        <v>0</v>
      </c>
      <c r="D39" s="32">
        <f t="shared" si="33"/>
        <v>0</v>
      </c>
      <c r="E39" s="32">
        <f t="shared" si="33"/>
        <v>0</v>
      </c>
      <c r="F39" s="32">
        <f t="shared" si="33"/>
        <v>0</v>
      </c>
      <c r="G39" s="32">
        <f t="shared" si="33"/>
        <v>0</v>
      </c>
      <c r="H39" s="32">
        <f t="shared" si="33"/>
        <v>0</v>
      </c>
      <c r="I39" s="32">
        <f t="shared" si="33"/>
        <v>0.8</v>
      </c>
      <c r="J39" s="32">
        <f t="shared" si="33"/>
        <v>0.4</v>
      </c>
      <c r="K39" s="32">
        <f t="shared" si="33"/>
        <v>0.4</v>
      </c>
      <c r="L39" s="32">
        <f t="shared" si="1"/>
        <v>1.6</v>
      </c>
      <c r="M39" s="31" t="s">
        <v>34</v>
      </c>
      <c r="N39" s="32">
        <f t="shared" ref="N39:V39" si="34">IF(N38=0,0,IF(N38-N6=-3,3,IF(N38-N6=-2,1.5,IF(N38-N6=-1,0.8,IF(N38-N6=0,0.4,IF(N38-N6=1,0,IF(N38-N6&lt;=2&gt;15,0,_xludf.IF)))))))</f>
        <v>0</v>
      </c>
      <c r="O39" s="32">
        <f t="shared" si="34"/>
        <v>0</v>
      </c>
      <c r="P39" s="32">
        <f t="shared" si="34"/>
        <v>0</v>
      </c>
      <c r="Q39" s="32">
        <f t="shared" si="34"/>
        <v>0</v>
      </c>
      <c r="R39" s="32">
        <f t="shared" si="34"/>
        <v>0</v>
      </c>
      <c r="S39" s="32">
        <f t="shared" si="34"/>
        <v>0</v>
      </c>
      <c r="T39" s="32">
        <f t="shared" si="34"/>
        <v>0</v>
      </c>
      <c r="U39" s="32">
        <f t="shared" si="34"/>
        <v>0.4</v>
      </c>
      <c r="V39" s="32">
        <f t="shared" si="34"/>
        <v>0.4</v>
      </c>
      <c r="W39" s="32">
        <f t="shared" si="2"/>
        <v>0.8</v>
      </c>
      <c r="X39" s="30">
        <f t="shared" si="0"/>
        <v>2.4000000000000004</v>
      </c>
    </row>
    <row r="40" spans="1:24" ht="15.95" customHeight="1">
      <c r="A40" s="54" t="s">
        <v>6</v>
      </c>
      <c r="B40" s="62" t="s">
        <v>32</v>
      </c>
      <c r="C40" s="59">
        <v>4</v>
      </c>
      <c r="D40" s="59">
        <v>5</v>
      </c>
      <c r="E40" s="59">
        <v>4</v>
      </c>
      <c r="F40" s="59">
        <v>5</v>
      </c>
      <c r="G40" s="59">
        <v>6</v>
      </c>
      <c r="H40" s="59">
        <v>7</v>
      </c>
      <c r="I40" s="59">
        <v>4</v>
      </c>
      <c r="J40" s="59">
        <v>5</v>
      </c>
      <c r="K40" s="59">
        <v>5</v>
      </c>
      <c r="L40" s="26">
        <f>SUM(C40:K40)</f>
        <v>45</v>
      </c>
      <c r="M40" s="62" t="s">
        <v>32</v>
      </c>
      <c r="N40" s="59">
        <v>5</v>
      </c>
      <c r="O40" s="59">
        <v>4</v>
      </c>
      <c r="P40" s="59">
        <v>3</v>
      </c>
      <c r="Q40" s="59">
        <v>4</v>
      </c>
      <c r="R40" s="59">
        <v>6</v>
      </c>
      <c r="S40" s="59">
        <v>6</v>
      </c>
      <c r="T40" s="59">
        <v>4</v>
      </c>
      <c r="U40" s="59">
        <v>5</v>
      </c>
      <c r="V40" s="59">
        <v>6</v>
      </c>
      <c r="W40" s="26">
        <f>SUM(N40:V40)</f>
        <v>43</v>
      </c>
      <c r="X40" s="33">
        <f t="shared" si="0"/>
        <v>88</v>
      </c>
    </row>
    <row r="41" spans="1:24" ht="15.95" customHeight="1">
      <c r="A41" s="55">
        <v>0</v>
      </c>
      <c r="B41" s="27" t="s">
        <v>31</v>
      </c>
      <c r="C41" s="69"/>
      <c r="D41" s="69"/>
      <c r="E41" s="28"/>
      <c r="F41" s="28"/>
      <c r="G41" s="28"/>
      <c r="H41" s="28"/>
      <c r="I41" s="28"/>
      <c r="J41" s="28"/>
      <c r="K41" s="69" t="s">
        <v>9</v>
      </c>
      <c r="L41" s="24">
        <f t="shared" si="1"/>
        <v>0</v>
      </c>
      <c r="M41" s="27" t="s">
        <v>31</v>
      </c>
      <c r="N41" s="69"/>
      <c r="O41" s="28"/>
      <c r="P41" s="69"/>
      <c r="Q41" s="28"/>
      <c r="R41" s="69"/>
      <c r="S41" s="28"/>
      <c r="T41" s="28"/>
      <c r="U41" s="28"/>
      <c r="V41" s="28"/>
      <c r="W41" s="24">
        <f t="shared" si="2"/>
        <v>0</v>
      </c>
      <c r="X41" s="25">
        <f t="shared" si="0"/>
        <v>0</v>
      </c>
    </row>
    <row r="42" spans="1:24" ht="15.95" customHeight="1">
      <c r="A42" s="37"/>
      <c r="B42" s="60" t="s">
        <v>33</v>
      </c>
      <c r="C42" s="66">
        <f t="shared" ref="C42:K42" si="35">SUM(C40:C41)</f>
        <v>4</v>
      </c>
      <c r="D42" s="66">
        <f t="shared" si="35"/>
        <v>5</v>
      </c>
      <c r="E42" s="66">
        <f t="shared" si="35"/>
        <v>4</v>
      </c>
      <c r="F42" s="66">
        <f t="shared" si="35"/>
        <v>5</v>
      </c>
      <c r="G42" s="66">
        <f t="shared" si="35"/>
        <v>6</v>
      </c>
      <c r="H42" s="66">
        <f t="shared" si="35"/>
        <v>7</v>
      </c>
      <c r="I42" s="66">
        <f t="shared" si="35"/>
        <v>4</v>
      </c>
      <c r="J42" s="66">
        <f t="shared" si="35"/>
        <v>5</v>
      </c>
      <c r="K42" s="66">
        <f t="shared" si="35"/>
        <v>5</v>
      </c>
      <c r="L42" s="22">
        <f t="shared" si="1"/>
        <v>45</v>
      </c>
      <c r="M42" s="60" t="s">
        <v>33</v>
      </c>
      <c r="N42" s="66">
        <f t="shared" ref="N42:V42" si="36">SUM(N40:N41)</f>
        <v>5</v>
      </c>
      <c r="O42" s="66">
        <f t="shared" si="36"/>
        <v>4</v>
      </c>
      <c r="P42" s="66">
        <f t="shared" si="36"/>
        <v>3</v>
      </c>
      <c r="Q42" s="66">
        <f t="shared" si="36"/>
        <v>4</v>
      </c>
      <c r="R42" s="66">
        <f t="shared" si="36"/>
        <v>6</v>
      </c>
      <c r="S42" s="66">
        <f t="shared" si="36"/>
        <v>6</v>
      </c>
      <c r="T42" s="66">
        <f t="shared" si="36"/>
        <v>4</v>
      </c>
      <c r="U42" s="66">
        <f t="shared" si="36"/>
        <v>5</v>
      </c>
      <c r="V42" s="66">
        <f t="shared" si="36"/>
        <v>6</v>
      </c>
      <c r="W42" s="22">
        <f t="shared" si="2"/>
        <v>43</v>
      </c>
      <c r="X42" s="15">
        <f t="shared" si="0"/>
        <v>88</v>
      </c>
    </row>
    <row r="43" spans="1:24" ht="15.95" customHeight="1" thickBot="1">
      <c r="A43" s="53"/>
      <c r="B43" s="31" t="s">
        <v>34</v>
      </c>
      <c r="C43" s="32">
        <f t="shared" ref="C43:K43" si="37">IF(C42=0,0,IF(C42-C6=-3,3,IF(C42-C6=-2,1.5,IF(C42-C6=-1,0.8,IF(C42-C6=0,0.4,IF(C42-C6=1,0,IF(C42-C6&lt;=2&gt;15,0,_xludf.IF)))))))</f>
        <v>0.4</v>
      </c>
      <c r="D43" s="32">
        <f t="shared" si="37"/>
        <v>0</v>
      </c>
      <c r="E43" s="32">
        <f t="shared" si="37"/>
        <v>0</v>
      </c>
      <c r="F43" s="32">
        <f t="shared" si="37"/>
        <v>0</v>
      </c>
      <c r="G43" s="32">
        <f t="shared" si="37"/>
        <v>0</v>
      </c>
      <c r="H43" s="32">
        <f t="shared" si="37"/>
        <v>0</v>
      </c>
      <c r="I43" s="32">
        <f t="shared" si="37"/>
        <v>0</v>
      </c>
      <c r="J43" s="32">
        <f t="shared" si="37"/>
        <v>0.4</v>
      </c>
      <c r="K43" s="32">
        <f t="shared" si="37"/>
        <v>0</v>
      </c>
      <c r="L43" s="32">
        <f t="shared" si="1"/>
        <v>0.8</v>
      </c>
      <c r="M43" s="31" t="s">
        <v>34</v>
      </c>
      <c r="N43" s="32">
        <f t="shared" ref="N43:V43" si="38">IF(N42=0,0,IF(N42-N6=-3,3,IF(N42-N6=-2,1.5,IF(N42-N6=-1,0.8,IF(N42-N6=0,0.4,IF(N42-N6=1,0,IF(N42-N6&lt;=2&gt;15,0,_xludf.IF)))))))</f>
        <v>0</v>
      </c>
      <c r="O43" s="32">
        <f t="shared" si="38"/>
        <v>0.4</v>
      </c>
      <c r="P43" s="32">
        <f t="shared" si="38"/>
        <v>0.4</v>
      </c>
      <c r="Q43" s="32">
        <f t="shared" si="38"/>
        <v>0.4</v>
      </c>
      <c r="R43" s="32">
        <f t="shared" si="38"/>
        <v>0</v>
      </c>
      <c r="S43" s="32">
        <f t="shared" si="38"/>
        <v>0</v>
      </c>
      <c r="T43" s="32">
        <f t="shared" si="38"/>
        <v>0.4</v>
      </c>
      <c r="U43" s="32">
        <f t="shared" si="38"/>
        <v>0</v>
      </c>
      <c r="V43" s="32">
        <f t="shared" si="38"/>
        <v>0</v>
      </c>
      <c r="W43" s="32">
        <f t="shared" si="2"/>
        <v>1.6</v>
      </c>
      <c r="X43" s="30">
        <f t="shared" si="0"/>
        <v>2.4000000000000004</v>
      </c>
    </row>
    <row r="44" spans="1:24" ht="15.95" customHeight="1">
      <c r="A44" s="54" t="s">
        <v>2</v>
      </c>
      <c r="B44" s="62" t="s">
        <v>32</v>
      </c>
      <c r="C44" s="59">
        <v>5</v>
      </c>
      <c r="D44" s="59">
        <v>7</v>
      </c>
      <c r="E44" s="59">
        <v>4</v>
      </c>
      <c r="F44" s="59">
        <v>6</v>
      </c>
      <c r="G44" s="59">
        <v>5</v>
      </c>
      <c r="H44" s="59">
        <v>5</v>
      </c>
      <c r="I44" s="59">
        <v>4</v>
      </c>
      <c r="J44" s="59">
        <v>5</v>
      </c>
      <c r="K44" s="59">
        <v>5</v>
      </c>
      <c r="L44" s="26">
        <f>SUM(C44:K44)</f>
        <v>46</v>
      </c>
      <c r="M44" s="62" t="s">
        <v>32</v>
      </c>
      <c r="N44" s="59">
        <v>4</v>
      </c>
      <c r="O44" s="59">
        <v>6</v>
      </c>
      <c r="P44" s="59">
        <v>3</v>
      </c>
      <c r="Q44" s="59">
        <v>5</v>
      </c>
      <c r="R44" s="59">
        <v>6</v>
      </c>
      <c r="S44" s="59">
        <v>5</v>
      </c>
      <c r="T44" s="59">
        <v>9</v>
      </c>
      <c r="U44" s="59">
        <v>3</v>
      </c>
      <c r="V44" s="59">
        <v>5</v>
      </c>
      <c r="W44" s="26">
        <f>SUM(N44:V44)</f>
        <v>46</v>
      </c>
      <c r="X44" s="33">
        <f t="shared" si="0"/>
        <v>92</v>
      </c>
    </row>
    <row r="45" spans="1:24" ht="15.95" customHeight="1">
      <c r="A45" s="55">
        <v>9</v>
      </c>
      <c r="B45" s="27" t="s">
        <v>31</v>
      </c>
      <c r="C45" s="69">
        <v>-1</v>
      </c>
      <c r="D45" s="69"/>
      <c r="E45" s="69"/>
      <c r="F45" s="69"/>
      <c r="G45" s="69">
        <v>-1</v>
      </c>
      <c r="H45" s="69">
        <v>-1</v>
      </c>
      <c r="I45" s="69"/>
      <c r="J45" s="69">
        <v>-1</v>
      </c>
      <c r="K45" s="69"/>
      <c r="L45" s="24">
        <f t="shared" si="1"/>
        <v>-4</v>
      </c>
      <c r="M45" s="27" t="s">
        <v>31</v>
      </c>
      <c r="N45" s="69"/>
      <c r="O45" s="28">
        <v>-1</v>
      </c>
      <c r="P45" s="69"/>
      <c r="Q45" s="28">
        <v>-1</v>
      </c>
      <c r="R45" s="69">
        <v>-1</v>
      </c>
      <c r="S45" s="28"/>
      <c r="T45" s="69">
        <v>-1</v>
      </c>
      <c r="U45" s="28"/>
      <c r="V45" s="69">
        <v>-1</v>
      </c>
      <c r="W45" s="24">
        <f t="shared" si="2"/>
        <v>-5</v>
      </c>
      <c r="X45" s="25">
        <f t="shared" si="0"/>
        <v>-9</v>
      </c>
    </row>
    <row r="46" spans="1:24" ht="15.95" customHeight="1">
      <c r="A46" s="37"/>
      <c r="B46" s="60" t="s">
        <v>33</v>
      </c>
      <c r="C46" s="66">
        <f t="shared" ref="C46:K46" si="39">SUM(C44:C45)</f>
        <v>4</v>
      </c>
      <c r="D46" s="66">
        <f t="shared" si="39"/>
        <v>7</v>
      </c>
      <c r="E46" s="66">
        <f t="shared" si="39"/>
        <v>4</v>
      </c>
      <c r="F46" s="66">
        <f t="shared" si="39"/>
        <v>6</v>
      </c>
      <c r="G46" s="66">
        <f t="shared" si="39"/>
        <v>4</v>
      </c>
      <c r="H46" s="66">
        <f t="shared" si="39"/>
        <v>4</v>
      </c>
      <c r="I46" s="66">
        <f t="shared" si="39"/>
        <v>4</v>
      </c>
      <c r="J46" s="66">
        <f t="shared" si="39"/>
        <v>4</v>
      </c>
      <c r="K46" s="66">
        <f t="shared" si="39"/>
        <v>5</v>
      </c>
      <c r="L46" s="22">
        <f t="shared" si="1"/>
        <v>42</v>
      </c>
      <c r="M46" s="60" t="s">
        <v>33</v>
      </c>
      <c r="N46" s="66">
        <f t="shared" ref="N46:V46" si="40">SUM(N44:N45)</f>
        <v>4</v>
      </c>
      <c r="O46" s="66">
        <f t="shared" si="40"/>
        <v>5</v>
      </c>
      <c r="P46" s="66">
        <f t="shared" si="40"/>
        <v>3</v>
      </c>
      <c r="Q46" s="66">
        <f t="shared" si="40"/>
        <v>4</v>
      </c>
      <c r="R46" s="66">
        <f t="shared" si="40"/>
        <v>5</v>
      </c>
      <c r="S46" s="66">
        <f t="shared" si="40"/>
        <v>5</v>
      </c>
      <c r="T46" s="66">
        <f t="shared" si="40"/>
        <v>8</v>
      </c>
      <c r="U46" s="66">
        <f t="shared" si="40"/>
        <v>3</v>
      </c>
      <c r="V46" s="66">
        <f t="shared" si="40"/>
        <v>4</v>
      </c>
      <c r="W46" s="22">
        <f t="shared" si="2"/>
        <v>41</v>
      </c>
      <c r="X46" s="15">
        <f t="shared" si="0"/>
        <v>83</v>
      </c>
    </row>
    <row r="47" spans="1:24" ht="15.95" customHeight="1" thickBot="1">
      <c r="A47" s="53"/>
      <c r="B47" s="31" t="s">
        <v>34</v>
      </c>
      <c r="C47" s="32">
        <f t="shared" ref="C47:K47" si="41">IF(C46=0,0,IF(C46-C6=-3,3,IF(C46-C6=-2,1.5,IF(C46-C6=-1,0.8,IF(C46-C6=0,0.4,IF(C46-C6=1,0,IF(C46-C6&lt;=2&gt;15,0,_xludf.IF)))))))</f>
        <v>0.4</v>
      </c>
      <c r="D47" s="32">
        <f t="shared" si="41"/>
        <v>0</v>
      </c>
      <c r="E47" s="32">
        <f t="shared" si="41"/>
        <v>0</v>
      </c>
      <c r="F47" s="32">
        <f t="shared" si="41"/>
        <v>0</v>
      </c>
      <c r="G47" s="32">
        <f t="shared" si="41"/>
        <v>0.4</v>
      </c>
      <c r="H47" s="32">
        <f t="shared" si="41"/>
        <v>0.4</v>
      </c>
      <c r="I47" s="32">
        <f t="shared" si="41"/>
        <v>0</v>
      </c>
      <c r="J47" s="32">
        <f t="shared" si="41"/>
        <v>0.8</v>
      </c>
      <c r="K47" s="32">
        <f t="shared" si="41"/>
        <v>0</v>
      </c>
      <c r="L47" s="32">
        <f t="shared" si="1"/>
        <v>2</v>
      </c>
      <c r="M47" s="31" t="s">
        <v>34</v>
      </c>
      <c r="N47" s="32">
        <f t="shared" ref="N47:V47" si="42">IF(N46=0,0,IF(N46-N6=-3,3,IF(N46-N6=-2,1.5,IF(N46-N6=-1,0.8,IF(N46-N6=0,0.4,IF(N46-N6=1,0,IF(N46-N6&lt;=2&gt;15,0,_xludf.IF)))))))</f>
        <v>0.4</v>
      </c>
      <c r="O47" s="32">
        <f t="shared" si="42"/>
        <v>0</v>
      </c>
      <c r="P47" s="32">
        <f t="shared" si="42"/>
        <v>0.4</v>
      </c>
      <c r="Q47" s="32">
        <f t="shared" si="42"/>
        <v>0.4</v>
      </c>
      <c r="R47" s="32">
        <f t="shared" si="42"/>
        <v>0.4</v>
      </c>
      <c r="S47" s="32">
        <f t="shared" si="42"/>
        <v>0</v>
      </c>
      <c r="T47" s="32">
        <f t="shared" si="42"/>
        <v>0</v>
      </c>
      <c r="U47" s="32">
        <f t="shared" si="42"/>
        <v>0.4</v>
      </c>
      <c r="V47" s="32">
        <f t="shared" si="42"/>
        <v>0.8</v>
      </c>
      <c r="W47" s="32">
        <f t="shared" si="2"/>
        <v>2.8</v>
      </c>
      <c r="X47" s="30">
        <f t="shared" si="0"/>
        <v>4.8</v>
      </c>
    </row>
    <row r="48" spans="1:24" ht="15.95" customHeight="1">
      <c r="A48" s="54" t="s">
        <v>16</v>
      </c>
      <c r="B48" s="62" t="s">
        <v>32</v>
      </c>
      <c r="C48" s="59">
        <v>5</v>
      </c>
      <c r="D48" s="59">
        <v>5</v>
      </c>
      <c r="E48" s="59">
        <v>5</v>
      </c>
      <c r="F48" s="59">
        <v>6</v>
      </c>
      <c r="G48" s="59">
        <v>7</v>
      </c>
      <c r="H48" s="59">
        <v>4</v>
      </c>
      <c r="I48" s="59">
        <v>5</v>
      </c>
      <c r="J48" s="59">
        <v>8</v>
      </c>
      <c r="K48" s="59">
        <v>4</v>
      </c>
      <c r="L48" s="26">
        <f>SUM(C48:K48)</f>
        <v>49</v>
      </c>
      <c r="M48" s="62" t="s">
        <v>32</v>
      </c>
      <c r="N48" s="59">
        <v>6</v>
      </c>
      <c r="O48" s="59">
        <v>5</v>
      </c>
      <c r="P48" s="59">
        <v>4</v>
      </c>
      <c r="Q48" s="59">
        <v>6</v>
      </c>
      <c r="R48" s="59">
        <v>7</v>
      </c>
      <c r="S48" s="59">
        <v>6</v>
      </c>
      <c r="T48" s="59">
        <v>7</v>
      </c>
      <c r="U48" s="59">
        <v>5</v>
      </c>
      <c r="V48" s="59">
        <v>5</v>
      </c>
      <c r="W48" s="26">
        <f>SUM(N48:V48)</f>
        <v>51</v>
      </c>
      <c r="X48" s="33">
        <f t="shared" si="0"/>
        <v>100</v>
      </c>
    </row>
    <row r="49" spans="1:35" ht="15.95" customHeight="1">
      <c r="A49" s="55">
        <v>10</v>
      </c>
      <c r="B49" s="27" t="s">
        <v>31</v>
      </c>
      <c r="C49" s="28">
        <v>-1</v>
      </c>
      <c r="D49" s="28">
        <v>-1</v>
      </c>
      <c r="E49" s="28"/>
      <c r="F49" s="28"/>
      <c r="G49" s="28">
        <v>-1</v>
      </c>
      <c r="H49" s="28">
        <v>-1</v>
      </c>
      <c r="I49" s="28"/>
      <c r="J49" s="28">
        <v>-1</v>
      </c>
      <c r="K49" s="28"/>
      <c r="L49" s="24">
        <f t="shared" si="1"/>
        <v>-5</v>
      </c>
      <c r="M49" s="27" t="s">
        <v>31</v>
      </c>
      <c r="N49" s="28"/>
      <c r="O49" s="28">
        <v>-1</v>
      </c>
      <c r="P49" s="28"/>
      <c r="Q49" s="28">
        <v>-1</v>
      </c>
      <c r="R49" s="28">
        <v>-1</v>
      </c>
      <c r="S49" s="28"/>
      <c r="T49" s="28">
        <v>-1</v>
      </c>
      <c r="U49" s="28"/>
      <c r="V49" s="28">
        <v>-1</v>
      </c>
      <c r="W49" s="24">
        <f t="shared" si="2"/>
        <v>-5</v>
      </c>
      <c r="X49" s="25">
        <f t="shared" si="0"/>
        <v>-10</v>
      </c>
      <c r="Y49" s="61"/>
      <c r="Z49" s="61"/>
      <c r="AA49" s="61"/>
      <c r="AB49" s="61"/>
      <c r="AC49" s="61"/>
      <c r="AD49" s="61"/>
      <c r="AE49" s="61"/>
      <c r="AF49" s="61"/>
      <c r="AG49" s="61"/>
      <c r="AH49" s="64"/>
      <c r="AI49" s="61"/>
    </row>
    <row r="50" spans="1:35" ht="15.95" customHeight="1">
      <c r="A50" s="37"/>
      <c r="B50" s="60" t="s">
        <v>33</v>
      </c>
      <c r="C50" s="66">
        <f t="shared" ref="C50:K50" si="43">SUM(C48:C49)</f>
        <v>4</v>
      </c>
      <c r="D50" s="66">
        <f t="shared" si="43"/>
        <v>4</v>
      </c>
      <c r="E50" s="66">
        <f t="shared" si="43"/>
        <v>5</v>
      </c>
      <c r="F50" s="66">
        <f t="shared" si="43"/>
        <v>6</v>
      </c>
      <c r="G50" s="66">
        <f t="shared" si="43"/>
        <v>6</v>
      </c>
      <c r="H50" s="66">
        <f t="shared" si="43"/>
        <v>3</v>
      </c>
      <c r="I50" s="66">
        <f t="shared" si="43"/>
        <v>5</v>
      </c>
      <c r="J50" s="66">
        <f t="shared" si="43"/>
        <v>7</v>
      </c>
      <c r="K50" s="66">
        <f t="shared" si="43"/>
        <v>4</v>
      </c>
      <c r="L50" s="22">
        <f t="shared" si="1"/>
        <v>44</v>
      </c>
      <c r="M50" s="60" t="s">
        <v>33</v>
      </c>
      <c r="N50" s="66">
        <f t="shared" ref="N50:V50" si="44">SUM(N48:N49)</f>
        <v>6</v>
      </c>
      <c r="O50" s="66">
        <f t="shared" si="44"/>
        <v>4</v>
      </c>
      <c r="P50" s="66">
        <f t="shared" si="44"/>
        <v>4</v>
      </c>
      <c r="Q50" s="66">
        <f t="shared" si="44"/>
        <v>5</v>
      </c>
      <c r="R50" s="66">
        <f t="shared" si="44"/>
        <v>6</v>
      </c>
      <c r="S50" s="66">
        <f t="shared" si="44"/>
        <v>6</v>
      </c>
      <c r="T50" s="66">
        <f t="shared" si="44"/>
        <v>6</v>
      </c>
      <c r="U50" s="66">
        <f t="shared" si="44"/>
        <v>5</v>
      </c>
      <c r="V50" s="66">
        <f t="shared" si="44"/>
        <v>4</v>
      </c>
      <c r="W50" s="22">
        <f t="shared" si="2"/>
        <v>46</v>
      </c>
      <c r="X50" s="15">
        <f t="shared" si="0"/>
        <v>90</v>
      </c>
      <c r="Y50" s="61"/>
      <c r="Z50" s="61"/>
      <c r="AA50" s="61"/>
      <c r="AB50" s="61"/>
      <c r="AC50" s="61"/>
      <c r="AD50" s="61"/>
      <c r="AE50" s="61"/>
      <c r="AF50" s="61"/>
      <c r="AG50" s="61"/>
      <c r="AH50" s="64"/>
      <c r="AI50" s="61" t="s">
        <v>9</v>
      </c>
    </row>
    <row r="51" spans="1:35" ht="15.95" customHeight="1" thickBot="1">
      <c r="A51" s="53"/>
      <c r="B51" s="31" t="s">
        <v>34</v>
      </c>
      <c r="C51" s="32">
        <f t="shared" ref="C51:K51" si="45">IF(C50=0,0,IF(C50-C6=-3,3,IF(C50-C6=-2,1.5,IF(C50-C6=-1,0.8,IF(C50-C6=0,0.4,IF(C50-C6=1,0,IF(C50-C6&lt;=2&gt;15,0,_xludf.IF)))))))</f>
        <v>0.4</v>
      </c>
      <c r="D51" s="32">
        <f t="shared" si="45"/>
        <v>0.4</v>
      </c>
      <c r="E51" s="32">
        <f>IF(E50=0,0,IF(E50-E6=-3,3,IF(E50-E6=-2,1.5,IF(E50-E6=-1,0.8,IF(E50-E6=0,0.4,IF(E50-E6=1,0,IF(E50-E6&lt;=2&gt;15,0,_xludf.IF)))))))</f>
        <v>0</v>
      </c>
      <c r="F51" s="32">
        <f>IF(F50=0,0,IF(F50-F6=-3,3,IF(F50-F6=-2,1.5,IF(F50-F6=-1,0.8,IF(F50-F6=0,0.4,IF(F50-F6=1,0,IF(F50-F6&lt;=2&gt;15,0,_xludf.IF)))))))</f>
        <v>0</v>
      </c>
      <c r="G51" s="32">
        <f t="shared" si="45"/>
        <v>0</v>
      </c>
      <c r="H51" s="32">
        <f t="shared" si="45"/>
        <v>0.8</v>
      </c>
      <c r="I51" s="32">
        <f t="shared" si="45"/>
        <v>0</v>
      </c>
      <c r="J51" s="32">
        <f t="shared" si="45"/>
        <v>0</v>
      </c>
      <c r="K51" s="32">
        <f t="shared" si="45"/>
        <v>0.4</v>
      </c>
      <c r="L51" s="32">
        <f t="shared" si="1"/>
        <v>2</v>
      </c>
      <c r="M51" s="31" t="s">
        <v>34</v>
      </c>
      <c r="N51" s="32">
        <f t="shared" ref="N51:V51" si="46">IF(N50=0,0,IF(N50-N6=-3,3,IF(N50-N6=-2,1.5,IF(N50-N6=-1,0.8,IF(N50-N6=0,0.4,IF(N50-N6=1,0,IF(N50-N6&lt;=2&gt;15,0,_xludf.IF)))))))</f>
        <v>0</v>
      </c>
      <c r="O51" s="32">
        <f t="shared" si="46"/>
        <v>0.4</v>
      </c>
      <c r="P51" s="32">
        <f t="shared" si="46"/>
        <v>0</v>
      </c>
      <c r="Q51" s="32">
        <f t="shared" si="46"/>
        <v>0</v>
      </c>
      <c r="R51" s="32">
        <f t="shared" si="46"/>
        <v>0</v>
      </c>
      <c r="S51" s="32">
        <f t="shared" si="46"/>
        <v>0</v>
      </c>
      <c r="T51" s="32">
        <f t="shared" si="46"/>
        <v>0</v>
      </c>
      <c r="U51" s="32">
        <f t="shared" si="46"/>
        <v>0</v>
      </c>
      <c r="V51" s="32">
        <f t="shared" si="46"/>
        <v>0.8</v>
      </c>
      <c r="W51" s="32">
        <f t="shared" si="2"/>
        <v>1.2000000000000002</v>
      </c>
      <c r="X51" s="30">
        <f t="shared" si="0"/>
        <v>3.2</v>
      </c>
      <c r="Y51" s="61"/>
      <c r="Z51" s="61"/>
      <c r="AA51" s="61"/>
      <c r="AB51" s="61"/>
      <c r="AC51" s="61"/>
      <c r="AD51" s="61"/>
      <c r="AE51" s="61"/>
      <c r="AF51" s="61"/>
      <c r="AG51" s="61"/>
      <c r="AH51" s="64"/>
      <c r="AI51" s="61"/>
    </row>
    <row r="52" spans="1:35" ht="15.95" customHeight="1">
      <c r="A52" s="54" t="s">
        <v>4</v>
      </c>
      <c r="B52" s="62" t="s">
        <v>32</v>
      </c>
      <c r="C52" s="59">
        <v>6</v>
      </c>
      <c r="D52" s="59">
        <v>4</v>
      </c>
      <c r="E52" s="59">
        <v>3</v>
      </c>
      <c r="F52" s="59">
        <v>6</v>
      </c>
      <c r="G52" s="59">
        <v>7</v>
      </c>
      <c r="H52" s="59">
        <v>4</v>
      </c>
      <c r="I52" s="59">
        <v>3</v>
      </c>
      <c r="J52" s="59">
        <v>7</v>
      </c>
      <c r="K52" s="59">
        <v>4</v>
      </c>
      <c r="L52" s="26">
        <f>SUM(C52:K52)</f>
        <v>44</v>
      </c>
      <c r="M52" s="62" t="s">
        <v>32</v>
      </c>
      <c r="N52" s="59">
        <v>6</v>
      </c>
      <c r="O52" s="59">
        <v>6</v>
      </c>
      <c r="P52" s="59">
        <v>4</v>
      </c>
      <c r="Q52" s="59">
        <v>7</v>
      </c>
      <c r="R52" s="59">
        <v>6</v>
      </c>
      <c r="S52" s="59">
        <v>7</v>
      </c>
      <c r="T52" s="59">
        <v>6</v>
      </c>
      <c r="U52" s="59">
        <v>4</v>
      </c>
      <c r="V52" s="59">
        <v>6</v>
      </c>
      <c r="W52" s="26">
        <f>SUM(N52:V52)</f>
        <v>52</v>
      </c>
      <c r="X52" s="33">
        <f t="shared" si="0"/>
        <v>96</v>
      </c>
      <c r="Y52" s="61"/>
      <c r="Z52" s="61"/>
      <c r="AA52" s="61"/>
      <c r="AB52" s="61"/>
      <c r="AC52" s="61"/>
      <c r="AD52" s="61"/>
      <c r="AE52" s="61"/>
      <c r="AF52" s="61"/>
      <c r="AG52" s="61"/>
      <c r="AH52" s="64"/>
      <c r="AI52" s="61"/>
    </row>
    <row r="53" spans="1:35" ht="15.95" customHeight="1">
      <c r="A53" s="55">
        <v>11</v>
      </c>
      <c r="B53" s="27" t="s">
        <v>31</v>
      </c>
      <c r="C53" s="28">
        <v>-1</v>
      </c>
      <c r="D53" s="28">
        <v>-1</v>
      </c>
      <c r="E53" s="28"/>
      <c r="F53" s="28"/>
      <c r="G53" s="69">
        <v>-1</v>
      </c>
      <c r="H53" s="28">
        <v>-1</v>
      </c>
      <c r="I53" s="28"/>
      <c r="J53" s="28">
        <v>-1</v>
      </c>
      <c r="K53" s="28"/>
      <c r="L53" s="24">
        <f t="shared" si="1"/>
        <v>-5</v>
      </c>
      <c r="M53" s="27" t="s">
        <v>31</v>
      </c>
      <c r="N53" s="28">
        <v>-1</v>
      </c>
      <c r="O53" s="69">
        <v>-1</v>
      </c>
      <c r="P53" s="28"/>
      <c r="Q53" s="28">
        <v>-1</v>
      </c>
      <c r="R53" s="28">
        <v>-1</v>
      </c>
      <c r="S53" s="69"/>
      <c r="T53" s="28">
        <v>-1</v>
      </c>
      <c r="U53" s="69"/>
      <c r="V53" s="69">
        <v>-1</v>
      </c>
      <c r="W53" s="24">
        <f t="shared" si="2"/>
        <v>-6</v>
      </c>
      <c r="X53" s="25">
        <f t="shared" si="0"/>
        <v>-11</v>
      </c>
      <c r="Y53" s="61"/>
      <c r="Z53" s="61"/>
      <c r="AA53" s="61"/>
      <c r="AB53" s="61"/>
      <c r="AC53" s="61"/>
      <c r="AD53" s="61"/>
      <c r="AE53" s="61"/>
      <c r="AF53" s="61"/>
      <c r="AG53" s="61"/>
      <c r="AH53" s="64"/>
      <c r="AI53" s="61"/>
    </row>
    <row r="54" spans="1:35" ht="15.95" customHeight="1">
      <c r="A54" s="37"/>
      <c r="B54" s="60" t="s">
        <v>33</v>
      </c>
      <c r="C54" s="66">
        <f t="shared" ref="C54:K54" si="47">SUM(C52:C53)</f>
        <v>5</v>
      </c>
      <c r="D54" s="66">
        <f t="shared" si="47"/>
        <v>3</v>
      </c>
      <c r="E54" s="66">
        <f t="shared" si="47"/>
        <v>3</v>
      </c>
      <c r="F54" s="66">
        <f t="shared" si="47"/>
        <v>6</v>
      </c>
      <c r="G54" s="66">
        <f t="shared" si="47"/>
        <v>6</v>
      </c>
      <c r="H54" s="66">
        <f t="shared" si="47"/>
        <v>3</v>
      </c>
      <c r="I54" s="66">
        <f t="shared" si="47"/>
        <v>3</v>
      </c>
      <c r="J54" s="66">
        <f t="shared" si="47"/>
        <v>6</v>
      </c>
      <c r="K54" s="66">
        <f t="shared" si="47"/>
        <v>4</v>
      </c>
      <c r="L54" s="22">
        <f t="shared" si="1"/>
        <v>39</v>
      </c>
      <c r="M54" s="60" t="s">
        <v>33</v>
      </c>
      <c r="N54" s="66">
        <f t="shared" ref="N54:V54" si="48">SUM(N52:N53)</f>
        <v>5</v>
      </c>
      <c r="O54" s="66">
        <f t="shared" si="48"/>
        <v>5</v>
      </c>
      <c r="P54" s="66">
        <f t="shared" si="48"/>
        <v>4</v>
      </c>
      <c r="Q54" s="66">
        <f t="shared" si="48"/>
        <v>6</v>
      </c>
      <c r="R54" s="66">
        <f t="shared" si="48"/>
        <v>5</v>
      </c>
      <c r="S54" s="66">
        <f t="shared" si="48"/>
        <v>7</v>
      </c>
      <c r="T54" s="66">
        <f t="shared" si="48"/>
        <v>5</v>
      </c>
      <c r="U54" s="66">
        <f t="shared" si="48"/>
        <v>4</v>
      </c>
      <c r="V54" s="66">
        <f t="shared" si="48"/>
        <v>5</v>
      </c>
      <c r="W54" s="22">
        <f t="shared" si="2"/>
        <v>46</v>
      </c>
      <c r="X54" s="15">
        <f t="shared" si="0"/>
        <v>85</v>
      </c>
      <c r="Y54" s="61"/>
      <c r="Z54" s="61"/>
      <c r="AA54" s="61"/>
      <c r="AB54" s="61"/>
      <c r="AC54" s="61"/>
      <c r="AD54" s="61"/>
      <c r="AE54" s="61"/>
      <c r="AF54" s="61"/>
      <c r="AG54" s="61"/>
      <c r="AH54" s="64"/>
      <c r="AI54" s="61"/>
    </row>
    <row r="55" spans="1:35" ht="15.95" customHeight="1" thickBot="1">
      <c r="A55" s="53"/>
      <c r="B55" s="31" t="s">
        <v>34</v>
      </c>
      <c r="C55" s="32">
        <f t="shared" ref="C55:K55" si="49">IF(C54=0,0,IF(C54-C6=-3,3,IF(C54-C6=-2,1.5,IF(C54-C6=-1,0.8,IF(C54-C6=0,0.4,IF(C54-C6=1,0,IF(C54-C6&lt;=2&gt;15,0,_xludf.IF)))))))</f>
        <v>0</v>
      </c>
      <c r="D55" s="32">
        <f t="shared" si="49"/>
        <v>0.8</v>
      </c>
      <c r="E55" s="32">
        <f t="shared" si="49"/>
        <v>0.4</v>
      </c>
      <c r="F55" s="32">
        <f t="shared" si="49"/>
        <v>0</v>
      </c>
      <c r="G55" s="32">
        <f t="shared" si="49"/>
        <v>0</v>
      </c>
      <c r="H55" s="32">
        <f t="shared" si="49"/>
        <v>0.8</v>
      </c>
      <c r="I55" s="32">
        <f t="shared" si="49"/>
        <v>0.4</v>
      </c>
      <c r="J55" s="32">
        <f t="shared" si="49"/>
        <v>0</v>
      </c>
      <c r="K55" s="32">
        <f t="shared" si="49"/>
        <v>0.4</v>
      </c>
      <c r="L55" s="32">
        <f>SUM(C55:K55)</f>
        <v>2.8</v>
      </c>
      <c r="M55" s="31" t="s">
        <v>34</v>
      </c>
      <c r="N55" s="32">
        <f t="shared" ref="N55:V55" si="50">IF(N54=0,0,IF(N54-N6=-3,3,IF(N54-N6=-2,1.5,IF(N54-N6=-1,0.8,IF(N54-N6=0,0.4,IF(N54-N6=1,0,IF(N54-N6&lt;=2&gt;15,0,_xludf.IF)))))))</f>
        <v>0</v>
      </c>
      <c r="O55" s="32">
        <f t="shared" si="50"/>
        <v>0</v>
      </c>
      <c r="P55" s="32">
        <f t="shared" si="50"/>
        <v>0</v>
      </c>
      <c r="Q55" s="32">
        <f t="shared" si="50"/>
        <v>0</v>
      </c>
      <c r="R55" s="32">
        <f t="shared" si="50"/>
        <v>0.4</v>
      </c>
      <c r="S55" s="32">
        <f t="shared" si="50"/>
        <v>0</v>
      </c>
      <c r="T55" s="32">
        <f t="shared" si="50"/>
        <v>0</v>
      </c>
      <c r="U55" s="32">
        <f t="shared" si="50"/>
        <v>0</v>
      </c>
      <c r="V55" s="32">
        <f t="shared" si="50"/>
        <v>0.4</v>
      </c>
      <c r="W55" s="32">
        <f t="shared" si="2"/>
        <v>0.8</v>
      </c>
      <c r="X55" s="30">
        <f t="shared" si="0"/>
        <v>3.5999999999999996</v>
      </c>
      <c r="Y55" s="61"/>
      <c r="Z55" s="61"/>
      <c r="AA55" s="61"/>
      <c r="AB55" s="61"/>
      <c r="AC55" s="61"/>
      <c r="AD55" s="61"/>
      <c r="AE55" s="61"/>
      <c r="AF55" s="61"/>
      <c r="AG55" s="61"/>
      <c r="AH55" s="64"/>
      <c r="AI55" s="61"/>
    </row>
    <row r="56" spans="1:35" ht="15.95" customHeight="1">
      <c r="A56" s="56" t="s">
        <v>7</v>
      </c>
      <c r="B56" s="62" t="s">
        <v>32</v>
      </c>
      <c r="C56" s="59">
        <v>4</v>
      </c>
      <c r="D56" s="59">
        <v>5</v>
      </c>
      <c r="E56" s="59">
        <v>2</v>
      </c>
      <c r="F56" s="59">
        <v>5</v>
      </c>
      <c r="G56" s="59">
        <v>4</v>
      </c>
      <c r="H56" s="59">
        <v>5</v>
      </c>
      <c r="I56" s="59">
        <v>4</v>
      </c>
      <c r="J56" s="59">
        <v>5</v>
      </c>
      <c r="K56" s="59">
        <v>4</v>
      </c>
      <c r="L56" s="26">
        <f>SUM(C56:K56)</f>
        <v>38</v>
      </c>
      <c r="M56" s="62" t="s">
        <v>32</v>
      </c>
      <c r="N56" s="59">
        <v>5</v>
      </c>
      <c r="O56" s="59">
        <v>4</v>
      </c>
      <c r="P56" s="59">
        <v>3</v>
      </c>
      <c r="Q56" s="59">
        <v>5</v>
      </c>
      <c r="R56" s="59">
        <v>6</v>
      </c>
      <c r="S56" s="59">
        <v>4</v>
      </c>
      <c r="T56" s="59">
        <v>6</v>
      </c>
      <c r="U56" s="59">
        <v>3</v>
      </c>
      <c r="V56" s="59">
        <v>7</v>
      </c>
      <c r="W56" s="26">
        <f>SUM(N56:V56)</f>
        <v>43</v>
      </c>
      <c r="X56" s="33">
        <f t="shared" ref="X56:X71" si="51">L56+W56</f>
        <v>81</v>
      </c>
      <c r="Y56" s="61"/>
      <c r="Z56" s="61"/>
      <c r="AA56" s="61"/>
      <c r="AB56" s="61"/>
      <c r="AC56" s="61"/>
      <c r="AD56" s="61"/>
      <c r="AE56" s="61"/>
      <c r="AF56" s="61"/>
      <c r="AG56" s="61"/>
      <c r="AH56" s="64"/>
      <c r="AI56" s="61"/>
    </row>
    <row r="57" spans="1:35" ht="15.95" customHeight="1">
      <c r="A57" s="57">
        <v>2</v>
      </c>
      <c r="B57" s="27" t="s">
        <v>31</v>
      </c>
      <c r="C57" s="69"/>
      <c r="D57" s="69"/>
      <c r="E57" s="28"/>
      <c r="F57" s="69"/>
      <c r="G57" s="28"/>
      <c r="H57" s="28">
        <v>-1</v>
      </c>
      <c r="I57" s="69"/>
      <c r="J57" s="28"/>
      <c r="K57" s="69"/>
      <c r="L57" s="24">
        <f t="shared" ref="L57:L70" si="52">SUM(C57:K57)</f>
        <v>-1</v>
      </c>
      <c r="M57" s="27" t="s">
        <v>31</v>
      </c>
      <c r="N57" s="69"/>
      <c r="O57" s="28"/>
      <c r="P57" s="69"/>
      <c r="Q57" s="69"/>
      <c r="R57" s="69"/>
      <c r="S57" s="28"/>
      <c r="T57" s="69">
        <v>-1</v>
      </c>
      <c r="U57" s="28"/>
      <c r="V57" s="28"/>
      <c r="W57" s="24">
        <f t="shared" ref="W57:W71" si="53">SUM(N57:V57)</f>
        <v>-1</v>
      </c>
      <c r="X57" s="25">
        <f t="shared" si="51"/>
        <v>-2</v>
      </c>
      <c r="Y57" s="61"/>
      <c r="Z57" s="61"/>
      <c r="AA57" s="61"/>
      <c r="AB57" s="61"/>
      <c r="AC57" s="61"/>
      <c r="AD57" s="61"/>
      <c r="AE57" s="61"/>
      <c r="AF57" s="61"/>
      <c r="AG57" s="61"/>
      <c r="AH57" s="64"/>
      <c r="AI57" s="61"/>
    </row>
    <row r="58" spans="1:35" ht="15.95" customHeight="1">
      <c r="A58" s="37"/>
      <c r="B58" s="60" t="s">
        <v>33</v>
      </c>
      <c r="C58" s="66">
        <f t="shared" ref="C58:K58" si="54">SUM(C56:C57)</f>
        <v>4</v>
      </c>
      <c r="D58" s="66">
        <f t="shared" si="54"/>
        <v>5</v>
      </c>
      <c r="E58" s="66">
        <f t="shared" si="54"/>
        <v>2</v>
      </c>
      <c r="F58" s="66">
        <f t="shared" si="54"/>
        <v>5</v>
      </c>
      <c r="G58" s="66">
        <f t="shared" si="54"/>
        <v>4</v>
      </c>
      <c r="H58" s="66">
        <f t="shared" si="54"/>
        <v>4</v>
      </c>
      <c r="I58" s="66">
        <f t="shared" si="54"/>
        <v>4</v>
      </c>
      <c r="J58" s="66">
        <f t="shared" si="54"/>
        <v>5</v>
      </c>
      <c r="K58" s="66">
        <f t="shared" si="54"/>
        <v>4</v>
      </c>
      <c r="L58" s="22">
        <f t="shared" si="52"/>
        <v>37</v>
      </c>
      <c r="M58" s="60" t="s">
        <v>33</v>
      </c>
      <c r="N58" s="66">
        <f t="shared" ref="N58:V58" si="55">SUM(N56:N57)</f>
        <v>5</v>
      </c>
      <c r="O58" s="66">
        <f t="shared" si="55"/>
        <v>4</v>
      </c>
      <c r="P58" s="66">
        <f t="shared" si="55"/>
        <v>3</v>
      </c>
      <c r="Q58" s="66">
        <f t="shared" si="55"/>
        <v>5</v>
      </c>
      <c r="R58" s="66">
        <f t="shared" si="55"/>
        <v>6</v>
      </c>
      <c r="S58" s="66">
        <f t="shared" si="55"/>
        <v>4</v>
      </c>
      <c r="T58" s="66">
        <f t="shared" si="55"/>
        <v>5</v>
      </c>
      <c r="U58" s="66">
        <f t="shared" si="55"/>
        <v>3</v>
      </c>
      <c r="V58" s="66">
        <f t="shared" si="55"/>
        <v>7</v>
      </c>
      <c r="W58" s="22">
        <f t="shared" si="53"/>
        <v>42</v>
      </c>
      <c r="X58" s="15">
        <f t="shared" si="51"/>
        <v>79</v>
      </c>
      <c r="Y58" s="61"/>
      <c r="Z58" s="61"/>
      <c r="AA58" s="61"/>
      <c r="AB58" s="61"/>
      <c r="AC58" s="61"/>
      <c r="AD58" s="61"/>
      <c r="AE58" s="61"/>
      <c r="AF58" s="61"/>
      <c r="AG58" s="61"/>
      <c r="AH58" s="64"/>
      <c r="AI58" s="61"/>
    </row>
    <row r="59" spans="1:35" ht="15.95" customHeight="1" thickBot="1">
      <c r="A59" s="53"/>
      <c r="B59" s="31" t="s">
        <v>34</v>
      </c>
      <c r="C59" s="32">
        <f t="shared" ref="C59:K59" si="56">IF(C58=0,0,IF(C58-C6=-3,3,IF(C58-C6=-2,1.5,IF(C58-C6=-1,0.8,IF(C58-C6=0,0.4,IF(C58-C6=1,0,IF(C58-C6&lt;=2&gt;15,0,_xludf.IF)))))))</f>
        <v>0.4</v>
      </c>
      <c r="D59" s="32">
        <f t="shared" si="56"/>
        <v>0</v>
      </c>
      <c r="E59" s="32">
        <f t="shared" si="56"/>
        <v>0.8</v>
      </c>
      <c r="F59" s="32">
        <f t="shared" si="56"/>
        <v>0</v>
      </c>
      <c r="G59" s="32">
        <f t="shared" si="56"/>
        <v>0.4</v>
      </c>
      <c r="H59" s="32">
        <f t="shared" si="56"/>
        <v>0.4</v>
      </c>
      <c r="I59" s="32">
        <f t="shared" si="56"/>
        <v>0</v>
      </c>
      <c r="J59" s="32">
        <f t="shared" si="56"/>
        <v>0.4</v>
      </c>
      <c r="K59" s="32">
        <f t="shared" si="56"/>
        <v>0.4</v>
      </c>
      <c r="L59" s="32">
        <f t="shared" si="52"/>
        <v>2.8</v>
      </c>
      <c r="M59" s="31" t="s">
        <v>34</v>
      </c>
      <c r="N59" s="32">
        <f t="shared" ref="N59:V59" si="57">IF(N58=0,0,IF(N58-N6=-3,3,IF(N58-N6=-2,1.5,IF(N58-N6=-1,0.8,IF(N58-N6=0,0.4,IF(N58-N6=1,0,IF(N58-N6&lt;=2&gt;15,0,_xludf.IF)))))))</f>
        <v>0</v>
      </c>
      <c r="O59" s="32">
        <f t="shared" si="57"/>
        <v>0.4</v>
      </c>
      <c r="P59" s="32">
        <f t="shared" si="57"/>
        <v>0.4</v>
      </c>
      <c r="Q59" s="32">
        <f t="shared" si="57"/>
        <v>0</v>
      </c>
      <c r="R59" s="32">
        <f t="shared" si="57"/>
        <v>0</v>
      </c>
      <c r="S59" s="32">
        <f t="shared" si="57"/>
        <v>0.4</v>
      </c>
      <c r="T59" s="32">
        <f t="shared" si="57"/>
        <v>0</v>
      </c>
      <c r="U59" s="32">
        <f t="shared" si="57"/>
        <v>0.4</v>
      </c>
      <c r="V59" s="32">
        <f t="shared" si="57"/>
        <v>0</v>
      </c>
      <c r="W59" s="32">
        <f t="shared" si="53"/>
        <v>1.6</v>
      </c>
      <c r="X59" s="30">
        <f t="shared" si="51"/>
        <v>4.4000000000000004</v>
      </c>
      <c r="Y59" s="61"/>
      <c r="Z59" s="61"/>
      <c r="AA59" s="61"/>
      <c r="AB59" s="61"/>
      <c r="AC59" s="61"/>
      <c r="AD59" s="61"/>
      <c r="AE59" s="61"/>
      <c r="AF59" s="61"/>
      <c r="AG59" s="61"/>
      <c r="AH59" s="64"/>
      <c r="AI59" s="61"/>
    </row>
    <row r="60" spans="1:35" ht="15.95" customHeight="1">
      <c r="A60" s="56" t="s">
        <v>10</v>
      </c>
      <c r="B60" s="62" t="s">
        <v>32</v>
      </c>
      <c r="C60" s="59">
        <v>6</v>
      </c>
      <c r="D60" s="59">
        <v>7</v>
      </c>
      <c r="E60" s="59">
        <v>4</v>
      </c>
      <c r="F60" s="59">
        <v>8</v>
      </c>
      <c r="G60" s="59">
        <v>3</v>
      </c>
      <c r="H60" s="59">
        <v>4</v>
      </c>
      <c r="I60" s="59">
        <v>4</v>
      </c>
      <c r="J60" s="59">
        <v>7</v>
      </c>
      <c r="K60" s="59">
        <v>6</v>
      </c>
      <c r="L60" s="26">
        <f>SUM(C60:K60)</f>
        <v>49</v>
      </c>
      <c r="M60" s="62" t="s">
        <v>32</v>
      </c>
      <c r="N60" s="59">
        <v>4</v>
      </c>
      <c r="O60" s="59">
        <v>5</v>
      </c>
      <c r="P60" s="59">
        <v>3</v>
      </c>
      <c r="Q60" s="59">
        <v>7</v>
      </c>
      <c r="R60" s="59">
        <v>5</v>
      </c>
      <c r="S60" s="59">
        <v>8</v>
      </c>
      <c r="T60" s="59">
        <v>6</v>
      </c>
      <c r="U60" s="59">
        <v>4</v>
      </c>
      <c r="V60" s="59">
        <v>6</v>
      </c>
      <c r="W60" s="26">
        <f>SUM(N60:V60)</f>
        <v>48</v>
      </c>
      <c r="X60" s="33">
        <f t="shared" si="51"/>
        <v>97</v>
      </c>
      <c r="Y60" s="61"/>
      <c r="Z60" s="61"/>
      <c r="AA60" s="61"/>
      <c r="AB60" s="61"/>
      <c r="AC60" s="61"/>
      <c r="AD60" s="61"/>
      <c r="AE60" s="61"/>
      <c r="AF60" s="61"/>
      <c r="AG60" s="61"/>
      <c r="AH60" s="64"/>
      <c r="AI60" s="61"/>
    </row>
    <row r="61" spans="1:35" ht="15.95" customHeight="1">
      <c r="A61" s="57">
        <v>6</v>
      </c>
      <c r="B61" s="27" t="s">
        <v>31</v>
      </c>
      <c r="C61" s="69">
        <v>-1</v>
      </c>
      <c r="D61" s="69"/>
      <c r="E61" s="69"/>
      <c r="F61" s="69"/>
      <c r="G61" s="69"/>
      <c r="H61" s="69">
        <v>-1</v>
      </c>
      <c r="I61" s="69"/>
      <c r="J61" s="69">
        <v>-1</v>
      </c>
      <c r="K61" s="69"/>
      <c r="L61" s="24">
        <f t="shared" si="52"/>
        <v>-3</v>
      </c>
      <c r="M61" s="27" t="s">
        <v>31</v>
      </c>
      <c r="N61" s="69"/>
      <c r="O61" s="28">
        <v>-1</v>
      </c>
      <c r="P61" s="69"/>
      <c r="Q61" s="28"/>
      <c r="R61" s="69"/>
      <c r="S61" s="28"/>
      <c r="T61" s="69">
        <v>-1</v>
      </c>
      <c r="U61" s="28"/>
      <c r="V61" s="69">
        <v>-1</v>
      </c>
      <c r="W61" s="24">
        <f t="shared" si="53"/>
        <v>-3</v>
      </c>
      <c r="X61" s="25">
        <f t="shared" si="51"/>
        <v>-6</v>
      </c>
      <c r="Y61" s="61"/>
      <c r="Z61" s="61"/>
      <c r="AA61" s="61"/>
      <c r="AB61" s="61"/>
      <c r="AC61" s="61"/>
      <c r="AD61" s="61"/>
      <c r="AE61" s="61"/>
      <c r="AF61" s="61"/>
      <c r="AG61" s="61"/>
      <c r="AH61" s="64"/>
      <c r="AI61" s="61"/>
    </row>
    <row r="62" spans="1:35" ht="15.95" customHeight="1">
      <c r="A62" s="37"/>
      <c r="B62" s="60" t="s">
        <v>33</v>
      </c>
      <c r="C62" s="66">
        <f t="shared" ref="C62:K62" si="58">SUM(C60:C61)</f>
        <v>5</v>
      </c>
      <c r="D62" s="66">
        <f t="shared" si="58"/>
        <v>7</v>
      </c>
      <c r="E62" s="66">
        <f t="shared" si="58"/>
        <v>4</v>
      </c>
      <c r="F62" s="66">
        <f t="shared" si="58"/>
        <v>8</v>
      </c>
      <c r="G62" s="66">
        <f t="shared" si="58"/>
        <v>3</v>
      </c>
      <c r="H62" s="66">
        <f t="shared" si="58"/>
        <v>3</v>
      </c>
      <c r="I62" s="66">
        <f t="shared" si="58"/>
        <v>4</v>
      </c>
      <c r="J62" s="66">
        <f t="shared" si="58"/>
        <v>6</v>
      </c>
      <c r="K62" s="66">
        <f t="shared" si="58"/>
        <v>6</v>
      </c>
      <c r="L62" s="22">
        <f t="shared" si="52"/>
        <v>46</v>
      </c>
      <c r="M62" s="60" t="s">
        <v>33</v>
      </c>
      <c r="N62" s="66">
        <f t="shared" ref="N62:V62" si="59">SUM(N60:N61)</f>
        <v>4</v>
      </c>
      <c r="O62" s="66">
        <f t="shared" si="59"/>
        <v>4</v>
      </c>
      <c r="P62" s="66">
        <f t="shared" si="59"/>
        <v>3</v>
      </c>
      <c r="Q62" s="66">
        <f t="shared" si="59"/>
        <v>7</v>
      </c>
      <c r="R62" s="66">
        <f t="shared" si="59"/>
        <v>5</v>
      </c>
      <c r="S62" s="66">
        <f t="shared" si="59"/>
        <v>8</v>
      </c>
      <c r="T62" s="66">
        <f t="shared" si="59"/>
        <v>5</v>
      </c>
      <c r="U62" s="66">
        <f t="shared" si="59"/>
        <v>4</v>
      </c>
      <c r="V62" s="66">
        <f t="shared" si="59"/>
        <v>5</v>
      </c>
      <c r="W62" s="22">
        <f t="shared" si="53"/>
        <v>45</v>
      </c>
      <c r="X62" s="15">
        <f t="shared" si="51"/>
        <v>91</v>
      </c>
      <c r="Y62" s="61"/>
      <c r="Z62" s="61"/>
      <c r="AA62" s="61"/>
      <c r="AB62" s="61"/>
      <c r="AC62" s="61"/>
      <c r="AD62" s="61"/>
      <c r="AE62" s="61"/>
      <c r="AF62" s="61"/>
      <c r="AG62" s="61"/>
      <c r="AH62" s="64"/>
      <c r="AI62" s="61"/>
    </row>
    <row r="63" spans="1:35" ht="15.95" customHeight="1" thickBot="1">
      <c r="A63" s="53"/>
      <c r="B63" s="31" t="s">
        <v>34</v>
      </c>
      <c r="C63" s="32">
        <f>IF(C62=0,0,IF(C62-C6=-3,3,IF(C62-C6=-2,1.5,IF(C62-C6=-1,0.8,IF(C62-C6=0,0.4,IF(C62-C6=1,0,IF(C62-C6&lt;=2&gt;15,0,_xludf.IF)))))))</f>
        <v>0</v>
      </c>
      <c r="D63" s="32">
        <f t="shared" ref="D63:K63" si="60">IF(D62=0,0,IF(D62-D6=-3,3,IF(D62-D6=-2,1.5,IF(D62-D6=-1,0.8,IF(D62-D6=0,0.4,IF(D62-D6=1,0,IF(D62-D6&lt;=2&gt;15,0,_xludf.IF)))))))</f>
        <v>0</v>
      </c>
      <c r="E63" s="32">
        <f t="shared" si="60"/>
        <v>0</v>
      </c>
      <c r="F63" s="32">
        <f t="shared" si="60"/>
        <v>0</v>
      </c>
      <c r="G63" s="32">
        <f t="shared" si="60"/>
        <v>0.8</v>
      </c>
      <c r="H63" s="32">
        <f t="shared" si="60"/>
        <v>0.8</v>
      </c>
      <c r="I63" s="32">
        <f t="shared" si="60"/>
        <v>0</v>
      </c>
      <c r="J63" s="32">
        <f t="shared" si="60"/>
        <v>0</v>
      </c>
      <c r="K63" s="32">
        <f t="shared" si="60"/>
        <v>0</v>
      </c>
      <c r="L63" s="32">
        <f t="shared" si="52"/>
        <v>1.6</v>
      </c>
      <c r="M63" s="31" t="s">
        <v>34</v>
      </c>
      <c r="N63" s="32">
        <f t="shared" ref="N63:V63" si="61">IF(N62=0,0,IF(N62-N6=-3,3,IF(N62-N6=-2,1.5,IF(N62-N6=-1,0.8,IF(N62-N6=0,0.4,IF(N62-N6=1,0,IF(N62-N6&lt;=2&gt;15,0,_xludf.IF)))))))</f>
        <v>0.4</v>
      </c>
      <c r="O63" s="32">
        <f t="shared" si="61"/>
        <v>0.4</v>
      </c>
      <c r="P63" s="32">
        <f t="shared" si="61"/>
        <v>0.4</v>
      </c>
      <c r="Q63" s="32">
        <f t="shared" si="61"/>
        <v>0</v>
      </c>
      <c r="R63" s="32">
        <f t="shared" si="61"/>
        <v>0.4</v>
      </c>
      <c r="S63" s="32">
        <f t="shared" si="61"/>
        <v>0</v>
      </c>
      <c r="T63" s="32">
        <f t="shared" si="61"/>
        <v>0</v>
      </c>
      <c r="U63" s="32">
        <f t="shared" si="61"/>
        <v>0</v>
      </c>
      <c r="V63" s="32">
        <f t="shared" si="61"/>
        <v>0.4</v>
      </c>
      <c r="W63" s="32">
        <f t="shared" si="53"/>
        <v>2</v>
      </c>
      <c r="X63" s="30">
        <f t="shared" si="51"/>
        <v>3.6</v>
      </c>
      <c r="Y63" s="61"/>
      <c r="Z63" s="61"/>
      <c r="AA63" s="61"/>
      <c r="AB63" s="61"/>
      <c r="AC63" s="61"/>
      <c r="AD63" s="61"/>
      <c r="AE63" s="61"/>
      <c r="AF63" s="61"/>
      <c r="AG63" s="61"/>
      <c r="AH63" s="64"/>
      <c r="AI63" s="61"/>
    </row>
    <row r="64" spans="1:35" ht="15.95" customHeight="1">
      <c r="A64" s="56" t="s">
        <v>5</v>
      </c>
      <c r="B64" s="62" t="s">
        <v>32</v>
      </c>
      <c r="C64" s="59">
        <v>5</v>
      </c>
      <c r="D64" s="59">
        <v>5</v>
      </c>
      <c r="E64" s="59">
        <v>4</v>
      </c>
      <c r="F64" s="59">
        <v>6</v>
      </c>
      <c r="G64" s="59">
        <v>4</v>
      </c>
      <c r="H64" s="59">
        <v>6</v>
      </c>
      <c r="I64" s="59">
        <v>3</v>
      </c>
      <c r="J64" s="59">
        <v>7</v>
      </c>
      <c r="K64" s="59">
        <v>5</v>
      </c>
      <c r="L64" s="26">
        <f>SUM(C64:K64)</f>
        <v>45</v>
      </c>
      <c r="M64" s="62" t="s">
        <v>32</v>
      </c>
      <c r="N64" s="59">
        <v>5</v>
      </c>
      <c r="O64" s="59">
        <v>6</v>
      </c>
      <c r="P64" s="59">
        <v>3</v>
      </c>
      <c r="Q64" s="59">
        <v>5</v>
      </c>
      <c r="R64" s="59">
        <v>6</v>
      </c>
      <c r="S64" s="59">
        <v>6</v>
      </c>
      <c r="T64" s="59">
        <v>4</v>
      </c>
      <c r="U64" s="59">
        <v>6</v>
      </c>
      <c r="V64" s="59">
        <v>5</v>
      </c>
      <c r="W64" s="26">
        <f>SUM(N64:V64)</f>
        <v>46</v>
      </c>
      <c r="X64" s="33">
        <f t="shared" si="51"/>
        <v>91</v>
      </c>
      <c r="Y64" s="61"/>
      <c r="Z64" s="61"/>
      <c r="AA64" s="61"/>
      <c r="AB64" s="61"/>
      <c r="AC64" s="61"/>
      <c r="AD64" s="61"/>
      <c r="AE64" s="61"/>
      <c r="AF64" s="61"/>
      <c r="AG64" s="61"/>
      <c r="AH64" s="64"/>
      <c r="AI64" s="61"/>
    </row>
    <row r="65" spans="1:31" ht="15.95" customHeight="1">
      <c r="A65" s="57">
        <v>7</v>
      </c>
      <c r="B65" s="27" t="s">
        <v>31</v>
      </c>
      <c r="C65" s="28">
        <v>-1</v>
      </c>
      <c r="D65" s="28"/>
      <c r="E65" s="28"/>
      <c r="F65" s="28"/>
      <c r="G65" s="28"/>
      <c r="H65" s="28">
        <v>-1</v>
      </c>
      <c r="I65" s="28"/>
      <c r="J65" s="28">
        <v>-1</v>
      </c>
      <c r="K65" s="28"/>
      <c r="L65" s="24">
        <f t="shared" si="52"/>
        <v>-3</v>
      </c>
      <c r="M65" s="27" t="s">
        <v>31</v>
      </c>
      <c r="N65" s="28"/>
      <c r="O65" s="28">
        <v>-1</v>
      </c>
      <c r="P65" s="28"/>
      <c r="Q65" s="28">
        <v>-1</v>
      </c>
      <c r="R65" s="28"/>
      <c r="S65" s="28"/>
      <c r="T65" s="28">
        <v>-1</v>
      </c>
      <c r="U65" s="28"/>
      <c r="V65" s="28">
        <v>-1</v>
      </c>
      <c r="W65" s="24">
        <f t="shared" si="53"/>
        <v>-4</v>
      </c>
      <c r="X65" s="25">
        <f t="shared" si="51"/>
        <v>-7</v>
      </c>
      <c r="Y65" s="61"/>
      <c r="Z65" s="61"/>
      <c r="AA65" s="61"/>
      <c r="AB65" s="61"/>
      <c r="AC65" s="61"/>
      <c r="AD65" s="61"/>
      <c r="AE65" s="61"/>
    </row>
    <row r="66" spans="1:31" ht="15.95" customHeight="1">
      <c r="A66" s="37"/>
      <c r="B66" s="60" t="s">
        <v>33</v>
      </c>
      <c r="C66" s="66">
        <f t="shared" ref="C66:K66" si="62">SUM(C64:C65)</f>
        <v>4</v>
      </c>
      <c r="D66" s="66">
        <f t="shared" si="62"/>
        <v>5</v>
      </c>
      <c r="E66" s="66">
        <f t="shared" si="62"/>
        <v>4</v>
      </c>
      <c r="F66" s="66">
        <f t="shared" si="62"/>
        <v>6</v>
      </c>
      <c r="G66" s="66">
        <f t="shared" si="62"/>
        <v>4</v>
      </c>
      <c r="H66" s="66">
        <f t="shared" si="62"/>
        <v>5</v>
      </c>
      <c r="I66" s="66">
        <f t="shared" si="62"/>
        <v>3</v>
      </c>
      <c r="J66" s="66">
        <f t="shared" si="62"/>
        <v>6</v>
      </c>
      <c r="K66" s="66">
        <f t="shared" si="62"/>
        <v>5</v>
      </c>
      <c r="L66" s="22">
        <f t="shared" si="52"/>
        <v>42</v>
      </c>
      <c r="M66" s="60" t="s">
        <v>33</v>
      </c>
      <c r="N66" s="66">
        <f t="shared" ref="N66:V66" si="63">SUM(N64:N65)</f>
        <v>5</v>
      </c>
      <c r="O66" s="66">
        <f t="shared" si="63"/>
        <v>5</v>
      </c>
      <c r="P66" s="66">
        <f t="shared" si="63"/>
        <v>3</v>
      </c>
      <c r="Q66" s="66">
        <f t="shared" si="63"/>
        <v>4</v>
      </c>
      <c r="R66" s="66">
        <f t="shared" si="63"/>
        <v>6</v>
      </c>
      <c r="S66" s="66">
        <f t="shared" si="63"/>
        <v>6</v>
      </c>
      <c r="T66" s="66">
        <f t="shared" si="63"/>
        <v>3</v>
      </c>
      <c r="U66" s="66">
        <f t="shared" si="63"/>
        <v>6</v>
      </c>
      <c r="V66" s="66">
        <f t="shared" si="63"/>
        <v>4</v>
      </c>
      <c r="W66" s="22">
        <f t="shared" si="53"/>
        <v>42</v>
      </c>
      <c r="X66" s="15">
        <f t="shared" si="51"/>
        <v>84</v>
      </c>
      <c r="Y66" s="61"/>
      <c r="Z66" s="61"/>
      <c r="AA66" s="61"/>
      <c r="AB66" s="61"/>
      <c r="AC66" s="61"/>
      <c r="AD66" s="61"/>
      <c r="AE66" s="61"/>
    </row>
    <row r="67" spans="1:31" ht="15.95" customHeight="1" thickBot="1">
      <c r="A67" s="53"/>
      <c r="B67" s="31" t="s">
        <v>34</v>
      </c>
      <c r="C67" s="32">
        <f t="shared" ref="C67:K67" si="64">IF(C66=0,0,IF(C66-C6=-3,3,IF(C66-C6=-2,1.5,IF(C66-C6=-1,0.8,IF(C66-C6=0,0.4,IF(C66-C6=1,0,IF(C66-C6&lt;=2&gt;15,0,_xludf.IF)))))))</f>
        <v>0.4</v>
      </c>
      <c r="D67" s="32">
        <f t="shared" si="64"/>
        <v>0</v>
      </c>
      <c r="E67" s="32">
        <f t="shared" si="64"/>
        <v>0</v>
      </c>
      <c r="F67" s="32">
        <f t="shared" si="64"/>
        <v>0</v>
      </c>
      <c r="G67" s="32">
        <f t="shared" si="64"/>
        <v>0.4</v>
      </c>
      <c r="H67" s="32">
        <f t="shared" si="64"/>
        <v>0</v>
      </c>
      <c r="I67" s="32">
        <f t="shared" si="64"/>
        <v>0.4</v>
      </c>
      <c r="J67" s="32">
        <f t="shared" si="64"/>
        <v>0</v>
      </c>
      <c r="K67" s="32">
        <f t="shared" si="64"/>
        <v>0</v>
      </c>
      <c r="L67" s="32">
        <f t="shared" si="52"/>
        <v>1.2000000000000002</v>
      </c>
      <c r="M67" s="31" t="s">
        <v>34</v>
      </c>
      <c r="N67" s="32">
        <f t="shared" ref="N67:V67" si="65">IF(N66=0,0,IF(N66-N6=-3,3,IF(N66-N6=-2,1.5,IF(N66-N6=-1,0.8,IF(N66-N6=0,0.4,IF(N66-N6=1,0,IF(N66-N6&lt;=2&gt;15,0,_xludf.IF)))))))</f>
        <v>0</v>
      </c>
      <c r="O67" s="32">
        <f t="shared" si="65"/>
        <v>0</v>
      </c>
      <c r="P67" s="32">
        <f t="shared" si="65"/>
        <v>0.4</v>
      </c>
      <c r="Q67" s="32">
        <f t="shared" si="65"/>
        <v>0.4</v>
      </c>
      <c r="R67" s="32">
        <f t="shared" si="65"/>
        <v>0</v>
      </c>
      <c r="S67" s="32">
        <f t="shared" si="65"/>
        <v>0</v>
      </c>
      <c r="T67" s="32">
        <f t="shared" si="65"/>
        <v>0.8</v>
      </c>
      <c r="U67" s="32">
        <f t="shared" si="65"/>
        <v>0</v>
      </c>
      <c r="V67" s="32">
        <f t="shared" si="65"/>
        <v>0.8</v>
      </c>
      <c r="W67" s="32">
        <f t="shared" si="53"/>
        <v>2.4000000000000004</v>
      </c>
      <c r="X67" s="30">
        <f t="shared" si="51"/>
        <v>3.6000000000000005</v>
      </c>
      <c r="Y67" s="61"/>
      <c r="Z67" s="61"/>
      <c r="AA67" s="61"/>
      <c r="AB67" s="61"/>
      <c r="AC67" s="61"/>
      <c r="AD67" s="61"/>
      <c r="AE67" s="61"/>
    </row>
    <row r="68" spans="1:31" ht="15.95" customHeight="1">
      <c r="A68" s="56" t="s">
        <v>38</v>
      </c>
      <c r="B68" s="62" t="s">
        <v>32</v>
      </c>
      <c r="C68" s="59">
        <v>9</v>
      </c>
      <c r="D68" s="59">
        <v>5</v>
      </c>
      <c r="E68" s="59">
        <v>4</v>
      </c>
      <c r="F68" s="59">
        <v>5</v>
      </c>
      <c r="G68" s="59">
        <v>9</v>
      </c>
      <c r="H68" s="59">
        <v>4</v>
      </c>
      <c r="I68" s="59">
        <v>4</v>
      </c>
      <c r="J68" s="59">
        <v>7</v>
      </c>
      <c r="K68" s="59">
        <v>6</v>
      </c>
      <c r="L68" s="26">
        <f>SUM(C68:K68)</f>
        <v>53</v>
      </c>
      <c r="M68" s="62" t="s">
        <v>32</v>
      </c>
      <c r="N68" s="59">
        <v>8</v>
      </c>
      <c r="O68" s="59">
        <v>6</v>
      </c>
      <c r="P68" s="59">
        <v>5</v>
      </c>
      <c r="Q68" s="59">
        <v>8</v>
      </c>
      <c r="R68" s="59">
        <v>10</v>
      </c>
      <c r="S68" s="59">
        <v>7</v>
      </c>
      <c r="T68" s="59">
        <v>6</v>
      </c>
      <c r="U68" s="59">
        <v>5</v>
      </c>
      <c r="V68" s="59">
        <v>6</v>
      </c>
      <c r="W68" s="26">
        <f>SUM(N68:V68)</f>
        <v>61</v>
      </c>
      <c r="X68" s="33">
        <f t="shared" si="51"/>
        <v>114</v>
      </c>
      <c r="Y68" s="61"/>
      <c r="Z68" s="61"/>
      <c r="AA68" s="61"/>
      <c r="AB68" s="61"/>
      <c r="AC68" s="61"/>
      <c r="AD68" s="61"/>
      <c r="AE68" s="61"/>
    </row>
    <row r="69" spans="1:31" ht="15.95" customHeight="1">
      <c r="A69" s="57">
        <v>18</v>
      </c>
      <c r="B69" s="27" t="s">
        <v>31</v>
      </c>
      <c r="C69" s="69">
        <v>-1</v>
      </c>
      <c r="D69" s="69">
        <v>-1</v>
      </c>
      <c r="E69" s="69">
        <v>-1</v>
      </c>
      <c r="F69" s="69">
        <v>-1</v>
      </c>
      <c r="G69" s="69">
        <v>-1</v>
      </c>
      <c r="H69" s="69">
        <v>-1</v>
      </c>
      <c r="I69" s="69">
        <v>-1</v>
      </c>
      <c r="J69" s="69">
        <v>-1</v>
      </c>
      <c r="K69" s="69">
        <v>-1</v>
      </c>
      <c r="L69" s="24">
        <f t="shared" si="52"/>
        <v>-9</v>
      </c>
      <c r="M69" s="27" t="s">
        <v>31</v>
      </c>
      <c r="N69" s="69">
        <v>-1</v>
      </c>
      <c r="O69" s="69">
        <v>-1</v>
      </c>
      <c r="P69" s="69">
        <v>-1</v>
      </c>
      <c r="Q69" s="69">
        <v>-1</v>
      </c>
      <c r="R69" s="69">
        <v>-1</v>
      </c>
      <c r="S69" s="69">
        <v>-1</v>
      </c>
      <c r="T69" s="69">
        <v>-1</v>
      </c>
      <c r="U69" s="69">
        <v>-1</v>
      </c>
      <c r="V69" s="69">
        <v>-1</v>
      </c>
      <c r="W69" s="24">
        <f t="shared" si="53"/>
        <v>-9</v>
      </c>
      <c r="X69" s="25">
        <f t="shared" si="51"/>
        <v>-18</v>
      </c>
      <c r="Y69" s="61"/>
      <c r="Z69" s="61"/>
      <c r="AA69" s="61"/>
      <c r="AB69" s="61"/>
      <c r="AC69" s="61"/>
      <c r="AD69" s="61"/>
      <c r="AE69" s="61"/>
    </row>
    <row r="70" spans="1:31" ht="15.95" customHeight="1">
      <c r="A70" s="37"/>
      <c r="B70" s="60" t="s">
        <v>33</v>
      </c>
      <c r="C70" s="66">
        <f t="shared" ref="C70:K70" si="66">SUM(C68:C69)</f>
        <v>8</v>
      </c>
      <c r="D70" s="66">
        <f t="shared" si="66"/>
        <v>4</v>
      </c>
      <c r="E70" s="66">
        <f t="shared" si="66"/>
        <v>3</v>
      </c>
      <c r="F70" s="66">
        <f t="shared" si="66"/>
        <v>4</v>
      </c>
      <c r="G70" s="66">
        <f t="shared" si="66"/>
        <v>8</v>
      </c>
      <c r="H70" s="66">
        <f t="shared" si="66"/>
        <v>3</v>
      </c>
      <c r="I70" s="66">
        <f t="shared" si="66"/>
        <v>3</v>
      </c>
      <c r="J70" s="66">
        <f t="shared" si="66"/>
        <v>6</v>
      </c>
      <c r="K70" s="66">
        <f t="shared" si="66"/>
        <v>5</v>
      </c>
      <c r="L70" s="22">
        <f t="shared" si="52"/>
        <v>44</v>
      </c>
      <c r="M70" s="60" t="s">
        <v>33</v>
      </c>
      <c r="N70" s="66">
        <f t="shared" ref="N70:V70" si="67">SUM(N68:N69)</f>
        <v>7</v>
      </c>
      <c r="O70" s="66">
        <f t="shared" si="67"/>
        <v>5</v>
      </c>
      <c r="P70" s="66">
        <f t="shared" si="67"/>
        <v>4</v>
      </c>
      <c r="Q70" s="66">
        <f t="shared" si="67"/>
        <v>7</v>
      </c>
      <c r="R70" s="66">
        <f t="shared" si="67"/>
        <v>9</v>
      </c>
      <c r="S70" s="66">
        <f t="shared" si="67"/>
        <v>6</v>
      </c>
      <c r="T70" s="66">
        <f t="shared" si="67"/>
        <v>5</v>
      </c>
      <c r="U70" s="66">
        <f t="shared" si="67"/>
        <v>4</v>
      </c>
      <c r="V70" s="66">
        <f t="shared" si="67"/>
        <v>5</v>
      </c>
      <c r="W70" s="22">
        <f t="shared" si="53"/>
        <v>52</v>
      </c>
      <c r="X70" s="15">
        <f t="shared" si="51"/>
        <v>96</v>
      </c>
      <c r="Y70" s="61"/>
      <c r="Z70" s="61"/>
      <c r="AA70" s="61"/>
      <c r="AB70" s="61"/>
      <c r="AC70" s="61"/>
      <c r="AD70" s="61"/>
      <c r="AE70" s="61"/>
    </row>
    <row r="71" spans="1:31" ht="15.95" customHeight="1" thickBot="1">
      <c r="A71" s="53"/>
      <c r="B71" s="31" t="s">
        <v>34</v>
      </c>
      <c r="C71" s="32">
        <f t="shared" ref="C71:K71" si="68">IF(C70=0,0,IF(C70-C6=-3,3,IF(C70-C6=-2,1.5,IF(C70-C6=-1,0.8,IF(C70-C6=0,0.4,IF(C70-C6=1,0,IF(C70-C6&lt;=2&gt;15,0,_xludf.IF)))))))</f>
        <v>0</v>
      </c>
      <c r="D71" s="32">
        <f t="shared" si="68"/>
        <v>0.4</v>
      </c>
      <c r="E71" s="32">
        <f t="shared" si="68"/>
        <v>0.4</v>
      </c>
      <c r="F71" s="32">
        <f t="shared" si="68"/>
        <v>0.4</v>
      </c>
      <c r="G71" s="32">
        <f t="shared" si="68"/>
        <v>0</v>
      </c>
      <c r="H71" s="32">
        <f t="shared" si="68"/>
        <v>0.8</v>
      </c>
      <c r="I71" s="32">
        <f t="shared" si="68"/>
        <v>0.4</v>
      </c>
      <c r="J71" s="32">
        <f t="shared" si="68"/>
        <v>0</v>
      </c>
      <c r="K71" s="32">
        <f t="shared" si="68"/>
        <v>0</v>
      </c>
      <c r="L71" s="32">
        <f>SUM(C71:K71)</f>
        <v>2.4</v>
      </c>
      <c r="M71" s="31" t="s">
        <v>34</v>
      </c>
      <c r="N71" s="32">
        <f t="shared" ref="N71:V71" si="69">IF(N70=0,0,IF(N70-N6=-3,3,IF(N70-N6=-2,1.5,IF(N70-N6=-1,0.8,IF(N70-N6=0,0.4,IF(N70-N6=1,0,IF(N70-N6&lt;=2&gt;15,0,_xludf.IF)))))))</f>
        <v>0</v>
      </c>
      <c r="O71" s="32">
        <f t="shared" si="69"/>
        <v>0</v>
      </c>
      <c r="P71" s="32">
        <f t="shared" si="69"/>
        <v>0</v>
      </c>
      <c r="Q71" s="32">
        <f t="shared" si="69"/>
        <v>0</v>
      </c>
      <c r="R71" s="32">
        <f t="shared" si="69"/>
        <v>0</v>
      </c>
      <c r="S71" s="32">
        <f t="shared" si="69"/>
        <v>0</v>
      </c>
      <c r="T71" s="32">
        <f t="shared" si="69"/>
        <v>0</v>
      </c>
      <c r="U71" s="32">
        <f t="shared" si="69"/>
        <v>0</v>
      </c>
      <c r="V71" s="32">
        <f t="shared" si="69"/>
        <v>0.4</v>
      </c>
      <c r="W71" s="32">
        <f t="shared" si="53"/>
        <v>0.4</v>
      </c>
      <c r="X71" s="30">
        <f t="shared" si="51"/>
        <v>2.8</v>
      </c>
      <c r="Y71" s="61"/>
      <c r="Z71" s="61"/>
      <c r="AA71" s="61"/>
      <c r="AB71" s="61"/>
      <c r="AC71" s="61"/>
      <c r="AD71" s="61"/>
      <c r="AE71" s="61"/>
    </row>
    <row r="72" spans="1:31" ht="15.95" customHeight="1">
      <c r="A72" s="80" t="s">
        <v>12</v>
      </c>
      <c r="B72" s="62" t="s">
        <v>32</v>
      </c>
      <c r="C72" s="59">
        <v>6</v>
      </c>
      <c r="D72" s="59">
        <v>7</v>
      </c>
      <c r="E72" s="59">
        <v>5</v>
      </c>
      <c r="F72" s="59">
        <v>4</v>
      </c>
      <c r="G72" s="59">
        <v>6</v>
      </c>
      <c r="H72" s="59">
        <v>6</v>
      </c>
      <c r="I72" s="59">
        <v>4</v>
      </c>
      <c r="J72" s="59">
        <v>6</v>
      </c>
      <c r="K72" s="59">
        <v>4</v>
      </c>
      <c r="L72" s="26">
        <f>SUM(C72:K72)</f>
        <v>48</v>
      </c>
      <c r="M72" s="62" t="s">
        <v>32</v>
      </c>
      <c r="N72" s="59">
        <v>5</v>
      </c>
      <c r="O72" s="59">
        <v>5</v>
      </c>
      <c r="P72" s="59">
        <v>4</v>
      </c>
      <c r="Q72" s="59">
        <v>7</v>
      </c>
      <c r="R72" s="59">
        <v>7</v>
      </c>
      <c r="S72" s="59">
        <v>6</v>
      </c>
      <c r="T72" s="59">
        <v>6</v>
      </c>
      <c r="U72" s="59">
        <v>4</v>
      </c>
      <c r="V72" s="59">
        <v>4</v>
      </c>
      <c r="W72" s="26">
        <f>SUM(N72:V72)</f>
        <v>48</v>
      </c>
      <c r="X72" s="33">
        <f t="shared" ref="X72:X87" si="70">L72+W72</f>
        <v>96</v>
      </c>
      <c r="Y72" s="61"/>
      <c r="Z72" s="61"/>
      <c r="AA72" s="61"/>
      <c r="AB72" s="61"/>
      <c r="AC72" s="61"/>
      <c r="AD72" s="61"/>
      <c r="AE72" s="61"/>
    </row>
    <row r="73" spans="1:31" ht="15.95" customHeight="1">
      <c r="A73" s="81">
        <v>4</v>
      </c>
      <c r="B73" s="27" t="s">
        <v>31</v>
      </c>
      <c r="C73" s="69"/>
      <c r="D73" s="69"/>
      <c r="E73" s="28"/>
      <c r="F73" s="69"/>
      <c r="G73" s="28"/>
      <c r="H73" s="28">
        <v>-1</v>
      </c>
      <c r="I73" s="69"/>
      <c r="J73" s="28">
        <v>-1</v>
      </c>
      <c r="K73" s="69"/>
      <c r="L73" s="24">
        <f t="shared" ref="L73:L75" si="71">SUM(C73:K73)</f>
        <v>-2</v>
      </c>
      <c r="M73" s="27" t="s">
        <v>31</v>
      </c>
      <c r="N73" s="69"/>
      <c r="O73" s="28"/>
      <c r="P73" s="69"/>
      <c r="Q73" s="69"/>
      <c r="R73" s="69"/>
      <c r="S73" s="28"/>
      <c r="T73" s="69">
        <v>-1</v>
      </c>
      <c r="U73" s="28"/>
      <c r="V73" s="28">
        <v>-1</v>
      </c>
      <c r="W73" s="24">
        <f t="shared" ref="W73:W75" si="72">SUM(N73:V73)</f>
        <v>-2</v>
      </c>
      <c r="X73" s="25">
        <f t="shared" si="70"/>
        <v>-4</v>
      </c>
      <c r="Y73" s="61"/>
      <c r="Z73" s="61"/>
      <c r="AA73" s="61"/>
      <c r="AB73" s="61"/>
      <c r="AC73" s="61"/>
      <c r="AD73" s="61"/>
      <c r="AE73" s="61"/>
    </row>
    <row r="74" spans="1:31" ht="15.95" customHeight="1">
      <c r="A74" s="37"/>
      <c r="B74" s="60" t="s">
        <v>33</v>
      </c>
      <c r="C74" s="66">
        <f t="shared" ref="C74:K74" si="73">SUM(C72:C73)</f>
        <v>6</v>
      </c>
      <c r="D74" s="66">
        <f t="shared" si="73"/>
        <v>7</v>
      </c>
      <c r="E74" s="66">
        <f t="shared" si="73"/>
        <v>5</v>
      </c>
      <c r="F74" s="66">
        <f t="shared" si="73"/>
        <v>4</v>
      </c>
      <c r="G74" s="66">
        <f t="shared" si="73"/>
        <v>6</v>
      </c>
      <c r="H74" s="66">
        <f t="shared" si="73"/>
        <v>5</v>
      </c>
      <c r="I74" s="66">
        <f t="shared" si="73"/>
        <v>4</v>
      </c>
      <c r="J74" s="66">
        <f t="shared" si="73"/>
        <v>5</v>
      </c>
      <c r="K74" s="66">
        <f t="shared" si="73"/>
        <v>4</v>
      </c>
      <c r="L74" s="22">
        <f t="shared" si="71"/>
        <v>46</v>
      </c>
      <c r="M74" s="60" t="s">
        <v>33</v>
      </c>
      <c r="N74" s="66">
        <f t="shared" ref="N74:V74" si="74">SUM(N72:N73)</f>
        <v>5</v>
      </c>
      <c r="O74" s="66">
        <f t="shared" si="74"/>
        <v>5</v>
      </c>
      <c r="P74" s="66">
        <f t="shared" si="74"/>
        <v>4</v>
      </c>
      <c r="Q74" s="66">
        <f t="shared" si="74"/>
        <v>7</v>
      </c>
      <c r="R74" s="66">
        <f t="shared" si="74"/>
        <v>7</v>
      </c>
      <c r="S74" s="66">
        <f t="shared" si="74"/>
        <v>6</v>
      </c>
      <c r="T74" s="66">
        <f t="shared" si="74"/>
        <v>5</v>
      </c>
      <c r="U74" s="66">
        <f t="shared" si="74"/>
        <v>4</v>
      </c>
      <c r="V74" s="66">
        <f t="shared" si="74"/>
        <v>3</v>
      </c>
      <c r="W74" s="22">
        <f t="shared" si="72"/>
        <v>46</v>
      </c>
      <c r="X74" s="15">
        <f t="shared" si="70"/>
        <v>92</v>
      </c>
      <c r="Y74" s="61"/>
      <c r="Z74" s="61"/>
      <c r="AA74" s="61"/>
      <c r="AB74" s="61"/>
      <c r="AC74" s="61"/>
      <c r="AD74" s="61"/>
      <c r="AE74" s="61"/>
    </row>
    <row r="75" spans="1:31" ht="15.95" customHeight="1" thickBot="1">
      <c r="A75" s="53"/>
      <c r="B75" s="31" t="s">
        <v>34</v>
      </c>
      <c r="C75" s="32">
        <f>IF(C74=0,0,IF(C74-C6=-3,3,IF(C74-C6=-2,1.5,IF(C74-C6=-1,0.8,IF(C74-C6=0,0.4,IF(C74-C6=1,0,IF(C74-C6&lt;=2&gt;15,0,_xludf.IF)))))))</f>
        <v>0</v>
      </c>
      <c r="D75" s="32">
        <f>IF(D74=0,0,IF(D74-D6=-3,3,IF(D74-D6=-2,1.5,IF(D74-D6=-1,0.8,IF(D74-D6=0,0.4,IF(D74-D6=1,0,IF(D74-D6&lt;=2&gt;15,0,_xludf.IF)))))))</f>
        <v>0</v>
      </c>
      <c r="E75" s="32">
        <f>IF(E74=0,0,IF(E74-E6=-3,3,IF(E74-E6=-2,1.5,IF(E74-E6=-1,0.8,IF(E74-E6=0,0.4,IF(E74-E6=1,0,IF(E74-E6&lt;=2&gt;15,0,_xludf.IF)))))))</f>
        <v>0</v>
      </c>
      <c r="F75" s="32">
        <f>IF(F74=0,0,IF(F74-F6=-3,3,IF(F74-F6=-2,1.5,IF(F74-F6=-1,0.8,IF(F74-F6=0,0.4,IF(F74-F6=1,0,IF(F74-F6&lt;=2&gt;15,0,_xludf.IF)))))))</f>
        <v>0.4</v>
      </c>
      <c r="G75" s="32">
        <f>IF(G74=0,0,IF(G74-G6=-3,3,IF(G74-G6=-2,1.5,IF(G74-G6=-1,0.8,IF(G74-G6=0,0.4,IF(G74-G6=1,0,IF(G74-G6&lt;=2&gt;15,0,_xludf.IF)))))))</f>
        <v>0</v>
      </c>
      <c r="H75" s="32">
        <f>IF(H74=0,0,IF(H74-H6=-3,3,IF(H74-H6=-2,1.5,IF(H74-H6=-1,0.8,IF(H74-H6=0,0.4,IF(H74-H6=1,0,IF(H74-H6&lt;=2&gt;15,0,_xludf.IF)))))))</f>
        <v>0</v>
      </c>
      <c r="I75" s="32">
        <f>IF(I74=0,0,IF(I74-I6=-3,3,IF(I74-I6=-2,1.5,IF(I74-I6=-1,0.8,IF(I74-I6=0,0.4,IF(I74-I6=1,0,IF(I74-I6&lt;=2&gt;15,0,_xludf.IF)))))))</f>
        <v>0</v>
      </c>
      <c r="J75" s="32">
        <f>IF(J74=0,0,IF(J74-J6=-3,3,IF(J74-J6=-2,1.5,IF(J74-J6=-1,0.8,IF(J74-J6=0,0.4,IF(J74-J6=1,0,IF(J74-J6&lt;=2&gt;15,0,_xludf.IF)))))))</f>
        <v>0.4</v>
      </c>
      <c r="K75" s="32">
        <f>IF(K74=0,0,IF(K74-K6=-3,3,IF(K74-K6=-2,1.5,IF(K74-K6=-1,0.8,IF(K74-K6=0,0.4,IF(K74-K6=1,0,IF(K74-K6&lt;=2&gt;15,0,_xludf.IF)))))))</f>
        <v>0.4</v>
      </c>
      <c r="L75" s="32">
        <f t="shared" si="71"/>
        <v>1.2000000000000002</v>
      </c>
      <c r="M75" s="31" t="s">
        <v>34</v>
      </c>
      <c r="N75" s="32">
        <f>IF(N74=0,0,IF(N74-N6=-3,3,IF(N74-N6=-2,1.5,IF(N74-N6=-1,0.8,IF(N74-N6=0,0.4,IF(N74-N6=1,0,IF(N74-N6&lt;=2&gt;15,0,_xludf.IF)))))))</f>
        <v>0</v>
      </c>
      <c r="O75" s="32">
        <f>IF(O74=0,0,IF(O74-O6=-3,3,IF(O74-O6=-2,1.5,IF(O74-O6=-1,0.8,IF(O74-O6=0,0.4,IF(O74-O6=1,0,IF(O74-O6&lt;=2&gt;15,0,_xludf.IF)))))))</f>
        <v>0</v>
      </c>
      <c r="P75" s="32">
        <f>IF(P74=0,0,IF(P74-P6=-3,3,IF(P74-P6=-2,1.5,IF(P74-P6=-1,0.8,IF(P74-P6=0,0.4,IF(P74-P6=1,0,IF(P74-P6&lt;=2&gt;15,0,_xludf.IF)))))))</f>
        <v>0</v>
      </c>
      <c r="Q75" s="32">
        <f>IF(Q74=0,0,IF(Q74-Q6=-3,3,IF(Q74-Q6=-2,1.5,IF(Q74-Q6=-1,0.8,IF(Q74-Q6=0,0.4,IF(Q74-Q6=1,0,IF(Q74-Q6&lt;=2&gt;15,0,_xludf.IF)))))))</f>
        <v>0</v>
      </c>
      <c r="R75" s="32">
        <f>IF(R74=0,0,IF(R74-R6=-3,3,IF(R74-R6=-2,1.5,IF(R74-R6=-1,0.8,IF(R74-R6=0,0.4,IF(R74-R6=1,0,IF(R74-R6&lt;=2&gt;15,0,_xludf.IF)))))))</f>
        <v>0</v>
      </c>
      <c r="S75" s="32">
        <f>IF(S74=0,0,IF(S74-S6=-3,3,IF(S74-S6=-2,1.5,IF(S74-S6=-1,0.8,IF(S74-S6=0,0.4,IF(S74-S6=1,0,IF(S74-S6&lt;=2&gt;15,0,_xludf.IF)))))))</f>
        <v>0</v>
      </c>
      <c r="T75" s="32">
        <f>IF(T74=0,0,IF(T74-T6=-3,3,IF(T74-T6=-2,1.5,IF(T74-T6=-1,0.8,IF(T74-T6=0,0.4,IF(T74-T6=1,0,IF(T74-T6&lt;=2&gt;15,0,_xludf.IF)))))))</f>
        <v>0</v>
      </c>
      <c r="U75" s="32">
        <f>IF(U74=0,0,IF(U74-U6=-3,3,IF(U74-U6=-2,1.5,IF(U74-U6=-1,0.8,IF(U74-U6=0,0.4,IF(U74-U6=1,0,IF(U74-U6&lt;=2&gt;15,0,_xludf.IF)))))))</f>
        <v>0</v>
      </c>
      <c r="V75" s="32">
        <f>IF(V74=0,0,IF(V74-V6=-3,3,IF(V74-V6=-2,1.5,IF(V74-V6=-1,0.8,IF(V74-V6=0,0.4,IF(V74-V6=1,0,IF(V74-V6&lt;=2&gt;15,0,_xludf.IF)))))))</f>
        <v>1.5</v>
      </c>
      <c r="W75" s="32">
        <f t="shared" si="72"/>
        <v>1.5</v>
      </c>
      <c r="X75" s="30">
        <f t="shared" si="70"/>
        <v>2.7</v>
      </c>
      <c r="Y75" s="61"/>
      <c r="Z75" s="61"/>
      <c r="AA75" s="61"/>
      <c r="AB75" s="61"/>
      <c r="AC75" s="61"/>
      <c r="AD75" s="61"/>
      <c r="AE75" s="61"/>
    </row>
    <row r="76" spans="1:31" ht="15.95" customHeight="1">
      <c r="A76" s="80" t="s">
        <v>15</v>
      </c>
      <c r="B76" s="62" t="s">
        <v>32</v>
      </c>
      <c r="C76" s="59">
        <v>5</v>
      </c>
      <c r="D76" s="59">
        <v>6</v>
      </c>
      <c r="E76" s="59">
        <v>2</v>
      </c>
      <c r="F76" s="59">
        <v>5</v>
      </c>
      <c r="G76" s="59">
        <v>6</v>
      </c>
      <c r="H76" s="59">
        <v>4</v>
      </c>
      <c r="I76" s="59">
        <v>4</v>
      </c>
      <c r="J76" s="59">
        <v>5</v>
      </c>
      <c r="K76" s="59">
        <v>5</v>
      </c>
      <c r="L76" s="26">
        <f>SUM(C76:K76)</f>
        <v>42</v>
      </c>
      <c r="M76" s="62" t="s">
        <v>32</v>
      </c>
      <c r="N76" s="59">
        <v>5</v>
      </c>
      <c r="O76" s="59">
        <v>6</v>
      </c>
      <c r="P76" s="59">
        <v>4</v>
      </c>
      <c r="Q76" s="59">
        <v>4</v>
      </c>
      <c r="R76" s="59">
        <v>7</v>
      </c>
      <c r="S76" s="59">
        <v>6</v>
      </c>
      <c r="T76" s="59">
        <v>5</v>
      </c>
      <c r="U76" s="59">
        <v>6</v>
      </c>
      <c r="V76" s="59">
        <v>5</v>
      </c>
      <c r="W76" s="26">
        <f>SUM(N76:V76)</f>
        <v>48</v>
      </c>
      <c r="X76" s="33">
        <f t="shared" si="70"/>
        <v>90</v>
      </c>
      <c r="Y76" s="61"/>
      <c r="Z76" s="61"/>
      <c r="AA76" s="61"/>
      <c r="AB76" s="61"/>
      <c r="AC76" s="61"/>
      <c r="AD76" s="61"/>
      <c r="AE76" s="61"/>
    </row>
    <row r="77" spans="1:31" ht="15.95" customHeight="1">
      <c r="A77" s="81">
        <v>7</v>
      </c>
      <c r="B77" s="27" t="s">
        <v>31</v>
      </c>
      <c r="C77" s="69">
        <v>-1</v>
      </c>
      <c r="D77" s="69"/>
      <c r="E77" s="69"/>
      <c r="F77" s="69"/>
      <c r="G77" s="69"/>
      <c r="H77" s="69">
        <v>-1</v>
      </c>
      <c r="I77" s="69"/>
      <c r="J77" s="69">
        <v>-1</v>
      </c>
      <c r="K77" s="69"/>
      <c r="L77" s="24">
        <f t="shared" ref="L77:L79" si="75">SUM(C77:K77)</f>
        <v>-3</v>
      </c>
      <c r="M77" s="27" t="s">
        <v>31</v>
      </c>
      <c r="N77" s="69"/>
      <c r="O77" s="28">
        <v>-1</v>
      </c>
      <c r="P77" s="69"/>
      <c r="Q77" s="28">
        <v>-1</v>
      </c>
      <c r="R77" s="69"/>
      <c r="S77" s="28"/>
      <c r="T77" s="69">
        <v>-1</v>
      </c>
      <c r="U77" s="28"/>
      <c r="V77" s="69">
        <v>-1</v>
      </c>
      <c r="W77" s="24">
        <f t="shared" ref="W77:W79" si="76">SUM(N77:V77)</f>
        <v>-4</v>
      </c>
      <c r="X77" s="25">
        <f t="shared" si="70"/>
        <v>-7</v>
      </c>
      <c r="Y77" s="61"/>
      <c r="Z77" s="61"/>
      <c r="AA77" s="61"/>
      <c r="AB77" s="61"/>
      <c r="AC77" s="61"/>
      <c r="AD77" s="61"/>
      <c r="AE77" s="61"/>
    </row>
    <row r="78" spans="1:31" ht="15.95" customHeight="1">
      <c r="A78" s="37"/>
      <c r="B78" s="60" t="s">
        <v>33</v>
      </c>
      <c r="C78" s="66">
        <f t="shared" ref="C78:K78" si="77">SUM(C76:C77)</f>
        <v>4</v>
      </c>
      <c r="D78" s="66">
        <f t="shared" si="77"/>
        <v>6</v>
      </c>
      <c r="E78" s="66">
        <f t="shared" si="77"/>
        <v>2</v>
      </c>
      <c r="F78" s="66">
        <f t="shared" si="77"/>
        <v>5</v>
      </c>
      <c r="G78" s="66">
        <f t="shared" si="77"/>
        <v>6</v>
      </c>
      <c r="H78" s="66">
        <f t="shared" si="77"/>
        <v>3</v>
      </c>
      <c r="I78" s="66">
        <f t="shared" si="77"/>
        <v>4</v>
      </c>
      <c r="J78" s="66">
        <f t="shared" si="77"/>
        <v>4</v>
      </c>
      <c r="K78" s="66">
        <f t="shared" si="77"/>
        <v>5</v>
      </c>
      <c r="L78" s="22">
        <f t="shared" si="75"/>
        <v>39</v>
      </c>
      <c r="M78" s="60" t="s">
        <v>33</v>
      </c>
      <c r="N78" s="66">
        <f t="shared" ref="N78:V78" si="78">SUM(N76:N77)</f>
        <v>5</v>
      </c>
      <c r="O78" s="66">
        <f t="shared" si="78"/>
        <v>5</v>
      </c>
      <c r="P78" s="66">
        <f t="shared" si="78"/>
        <v>4</v>
      </c>
      <c r="Q78" s="66">
        <f t="shared" si="78"/>
        <v>3</v>
      </c>
      <c r="R78" s="66">
        <f t="shared" si="78"/>
        <v>7</v>
      </c>
      <c r="S78" s="66">
        <f t="shared" si="78"/>
        <v>6</v>
      </c>
      <c r="T78" s="66">
        <f t="shared" si="78"/>
        <v>4</v>
      </c>
      <c r="U78" s="66">
        <f t="shared" si="78"/>
        <v>6</v>
      </c>
      <c r="V78" s="66">
        <f t="shared" si="78"/>
        <v>4</v>
      </c>
      <c r="W78" s="22">
        <f t="shared" si="76"/>
        <v>44</v>
      </c>
      <c r="X78" s="15">
        <f t="shared" si="70"/>
        <v>83</v>
      </c>
      <c r="Y78" s="61"/>
      <c r="Z78" s="61"/>
      <c r="AA78" s="61"/>
      <c r="AB78" s="61"/>
      <c r="AC78" s="61"/>
      <c r="AD78" s="61"/>
      <c r="AE78" s="61"/>
    </row>
    <row r="79" spans="1:31" ht="15.95" customHeight="1" thickBot="1">
      <c r="A79" s="53"/>
      <c r="B79" s="31" t="s">
        <v>34</v>
      </c>
      <c r="C79" s="32">
        <f>IF(C78=0,0,IF(C78-C6=-3,3,IF(C78-C6=-2,1.5,IF(C78-C6=-1,0.8,IF(C78-C6=0,0.4,IF(C78-C6=1,0,IF(C78-C6&lt;=2&gt;15,0,_xludf.IF)))))))</f>
        <v>0.4</v>
      </c>
      <c r="D79" s="32">
        <f>IF(D78=0,0,IF(D78-D6=-3,3,IF(D78-D6=-2,1.5,IF(D78-D6=-1,0.8,IF(D78-D6=0,0.4,IF(D78-D6=1,0,IF(D78-D6&lt;=2&gt;15,0,_xludf.IF)))))))</f>
        <v>0</v>
      </c>
      <c r="E79" s="32">
        <f>IF(E78=0,0,IF(E78-E6=-3,3,IF(E78-E6=-2,1.5,IF(E78-E6=-1,0.8,IF(E78-E6=0,0.4,IF(E78-E6=1,0,IF(E78-E6&lt;=2&gt;15,0,_xludf.IF)))))))</f>
        <v>0.8</v>
      </c>
      <c r="F79" s="32">
        <f>IF(F78=0,0,IF(F78-F6=-3,3,IF(F78-F6=-2,1.5,IF(F78-F6=-1,0.8,IF(F78-F6=0,0.4,IF(F78-F6=1,0,IF(F78-F6&lt;=2&gt;15,0,_xludf.IF)))))))</f>
        <v>0</v>
      </c>
      <c r="G79" s="32">
        <f>IF(G78=0,0,IF(G78-G6=-3,3,IF(G78-G6=-2,1.5,IF(G78-G6=-1,0.8,IF(G78-G6=0,0.4,IF(G78-G6=1,0,IF(G78-G6&lt;=2&gt;15,0,_xludf.IF)))))))</f>
        <v>0</v>
      </c>
      <c r="H79" s="32">
        <f>IF(H78=0,0,IF(H78-H6=-3,3,IF(H78-H6=-2,1.5,IF(H78-H6=-1,0.8,IF(H78-H6=0,0.4,IF(H78-H6=1,0,IF(H78-H6&lt;=2&gt;15,0,_xludf.IF)))))))</f>
        <v>0.8</v>
      </c>
      <c r="I79" s="32">
        <f>IF(I78=0,0,IF(I78-I6=-3,3,IF(I78-I6=-2,1.5,IF(I78-I6=-1,0.8,IF(I78-I6=0,0.4,IF(I78-I6=1,0,IF(I78-I6&lt;=2&gt;15,0,_xludf.IF)))))))</f>
        <v>0</v>
      </c>
      <c r="J79" s="32">
        <f>IF(J78=0,0,IF(J78-J6=-3,3,IF(J78-J6=-2,1.5,IF(J78-J6=-1,0.8,IF(J78-J6=0,0.4,IF(J78-J6=1,0,IF(J78-J6&lt;=2&gt;15,0,_xludf.IF)))))))</f>
        <v>0.8</v>
      </c>
      <c r="K79" s="32">
        <f>IF(K78=0,0,IF(K78-K6=-3,3,IF(K78-K6=-2,1.5,IF(K78-K6=-1,0.8,IF(K78-K6=0,0.4,IF(K78-K6=1,0,IF(K78-K6&lt;=2&gt;15,0,_xludf.IF)))))))</f>
        <v>0</v>
      </c>
      <c r="L79" s="32">
        <f t="shared" si="75"/>
        <v>2.8</v>
      </c>
      <c r="M79" s="31" t="s">
        <v>34</v>
      </c>
      <c r="N79" s="32">
        <f>IF(N78=0,0,IF(N78-N6=-3,3,IF(N78-N6=-2,1.5,IF(N78-N6=-1,0.8,IF(N78-N6=0,0.4,IF(N78-N6=1,0,IF(N78-N6&lt;=2&gt;15,0,_xludf.IF)))))))</f>
        <v>0</v>
      </c>
      <c r="O79" s="32">
        <f>IF(O78=0,0,IF(O78-O6=-3,3,IF(O78-O6=-2,1.5,IF(O78-O6=-1,0.8,IF(O78-O6=0,0.4,IF(O78-O6=1,0,IF(O78-O6&lt;=2&gt;15,0,_xludf.IF)))))))</f>
        <v>0</v>
      </c>
      <c r="P79" s="32">
        <f>IF(P78=0,0,IF(P78-P6=-3,3,IF(P78-P6=-2,1.5,IF(P78-P6=-1,0.8,IF(P78-P6=0,0.4,IF(P78-P6=1,0,IF(P78-P6&lt;=2&gt;15,0,_xludf.IF)))))))</f>
        <v>0</v>
      </c>
      <c r="Q79" s="32">
        <f>IF(Q78=0,0,IF(Q78-Q6=-3,3,IF(Q78-Q6=-2,1.5,IF(Q78-Q6=-1,0.8,IF(Q78-Q6=0,0.4,IF(Q78-Q6=1,0,IF(Q78-Q6&lt;=2&gt;15,0,_xludf.IF)))))))</f>
        <v>0.8</v>
      </c>
      <c r="R79" s="32">
        <f>IF(R78=0,0,IF(R78-R6=-3,3,IF(R78-R6=-2,1.5,IF(R78-R6=-1,0.8,IF(R78-R6=0,0.4,IF(R78-R6=1,0,IF(R78-R6&lt;=2&gt;15,0,_xludf.IF)))))))</f>
        <v>0</v>
      </c>
      <c r="S79" s="32">
        <f>IF(S78=0,0,IF(S78-S6=-3,3,IF(S78-S6=-2,1.5,IF(S78-S6=-1,0.8,IF(S78-S6=0,0.4,IF(S78-S6=1,0,IF(S78-S6&lt;=2&gt;15,0,_xludf.IF)))))))</f>
        <v>0</v>
      </c>
      <c r="T79" s="32">
        <f>IF(T78=0,0,IF(T78-T6=-3,3,IF(T78-T6=-2,1.5,IF(T78-T6=-1,0.8,IF(T78-T6=0,0.4,IF(T78-T6=1,0,IF(T78-T6&lt;=2&gt;15,0,_xludf.IF)))))))</f>
        <v>0.4</v>
      </c>
      <c r="U79" s="32">
        <f>IF(U78=0,0,IF(U78-U6=-3,3,IF(U78-U6=-2,1.5,IF(U78-U6=-1,0.8,IF(U78-U6=0,0.4,IF(U78-U6=1,0,IF(U78-U6&lt;=2&gt;15,0,_xludf.IF)))))))</f>
        <v>0</v>
      </c>
      <c r="V79" s="32">
        <f>IF(V78=0,0,IF(V78-V6=-3,3,IF(V78-V6=-2,1.5,IF(V78-V6=-1,0.8,IF(V78-V6=0,0.4,IF(V78-V6=1,0,IF(V78-V6&lt;=2&gt;15,0,_xludf.IF)))))))</f>
        <v>0.8</v>
      </c>
      <c r="W79" s="32">
        <f t="shared" si="76"/>
        <v>2</v>
      </c>
      <c r="X79" s="30">
        <f t="shared" si="70"/>
        <v>4.8</v>
      </c>
      <c r="Y79" s="61"/>
      <c r="Z79" s="61"/>
      <c r="AA79" s="61"/>
      <c r="AB79" s="61"/>
      <c r="AC79" s="61"/>
      <c r="AD79" s="61"/>
      <c r="AE79" s="61"/>
    </row>
    <row r="80" spans="1:31" ht="15.95" customHeight="1">
      <c r="A80" s="80" t="s">
        <v>39</v>
      </c>
      <c r="B80" s="62" t="s">
        <v>32</v>
      </c>
      <c r="C80" s="59">
        <v>6</v>
      </c>
      <c r="D80" s="59">
        <v>6</v>
      </c>
      <c r="E80" s="59">
        <v>4</v>
      </c>
      <c r="F80" s="59">
        <v>6</v>
      </c>
      <c r="G80" s="59">
        <v>5</v>
      </c>
      <c r="H80" s="59">
        <v>6</v>
      </c>
      <c r="I80" s="59">
        <v>4</v>
      </c>
      <c r="J80" s="59">
        <v>7</v>
      </c>
      <c r="K80" s="59">
        <v>6</v>
      </c>
      <c r="L80" s="26">
        <f>SUM(C80:K80)</f>
        <v>50</v>
      </c>
      <c r="M80" s="62" t="s">
        <v>32</v>
      </c>
      <c r="N80" s="59">
        <v>4</v>
      </c>
      <c r="O80" s="59">
        <v>8</v>
      </c>
      <c r="P80" s="59">
        <v>7</v>
      </c>
      <c r="Q80" s="59">
        <v>7</v>
      </c>
      <c r="R80" s="59">
        <v>6</v>
      </c>
      <c r="S80" s="59">
        <v>5</v>
      </c>
      <c r="T80" s="59">
        <v>7</v>
      </c>
      <c r="U80" s="59">
        <v>5</v>
      </c>
      <c r="V80" s="59">
        <v>9</v>
      </c>
      <c r="W80" s="26">
        <f>SUM(N80:V80)</f>
        <v>58</v>
      </c>
      <c r="X80" s="33">
        <f t="shared" si="70"/>
        <v>108</v>
      </c>
      <c r="Y80" s="61"/>
      <c r="Z80" s="61"/>
      <c r="AA80" s="61"/>
      <c r="AB80" s="61"/>
      <c r="AC80" s="61"/>
      <c r="AD80" s="61"/>
      <c r="AE80" s="61"/>
    </row>
    <row r="81" spans="1:34" ht="15.95" customHeight="1">
      <c r="A81" s="81">
        <v>11</v>
      </c>
      <c r="B81" s="27" t="s">
        <v>31</v>
      </c>
      <c r="C81" s="28">
        <v>-1</v>
      </c>
      <c r="D81" s="28">
        <v>-1</v>
      </c>
      <c r="E81" s="28"/>
      <c r="F81" s="28"/>
      <c r="G81" s="28">
        <v>-1</v>
      </c>
      <c r="H81" s="28">
        <v>-1</v>
      </c>
      <c r="I81" s="28"/>
      <c r="J81" s="28">
        <v>-1</v>
      </c>
      <c r="K81" s="28"/>
      <c r="L81" s="24">
        <f t="shared" ref="L81:L83" si="79">SUM(C81:K81)</f>
        <v>-5</v>
      </c>
      <c r="M81" s="27" t="s">
        <v>31</v>
      </c>
      <c r="N81" s="28">
        <v>-1</v>
      </c>
      <c r="O81" s="28">
        <v>-1</v>
      </c>
      <c r="P81" s="28"/>
      <c r="Q81" s="28">
        <v>-1</v>
      </c>
      <c r="R81" s="28">
        <v>-1</v>
      </c>
      <c r="S81" s="28"/>
      <c r="T81" s="28">
        <v>-1</v>
      </c>
      <c r="U81" s="28"/>
      <c r="V81" s="28">
        <v>-1</v>
      </c>
      <c r="W81" s="24">
        <f t="shared" ref="W81:W83" si="80">SUM(N81:V81)</f>
        <v>-6</v>
      </c>
      <c r="X81" s="25">
        <f t="shared" si="70"/>
        <v>-11</v>
      </c>
      <c r="Y81" s="61"/>
      <c r="Z81" s="61"/>
      <c r="AA81" s="61"/>
      <c r="AB81" s="61"/>
      <c r="AC81" s="61"/>
      <c r="AD81" s="61"/>
      <c r="AE81" s="61"/>
      <c r="AF81" s="61"/>
      <c r="AG81" s="61"/>
      <c r="AH81" s="64"/>
    </row>
    <row r="82" spans="1:34" ht="15.95" customHeight="1">
      <c r="A82" s="37"/>
      <c r="B82" s="60" t="s">
        <v>33</v>
      </c>
      <c r="C82" s="66">
        <f t="shared" ref="C82:K82" si="81">SUM(C80:C81)</f>
        <v>5</v>
      </c>
      <c r="D82" s="66">
        <f t="shared" si="81"/>
        <v>5</v>
      </c>
      <c r="E82" s="66">
        <f t="shared" si="81"/>
        <v>4</v>
      </c>
      <c r="F82" s="66">
        <f t="shared" si="81"/>
        <v>6</v>
      </c>
      <c r="G82" s="66">
        <f t="shared" si="81"/>
        <v>4</v>
      </c>
      <c r="H82" s="66">
        <f t="shared" si="81"/>
        <v>5</v>
      </c>
      <c r="I82" s="66">
        <f t="shared" si="81"/>
        <v>4</v>
      </c>
      <c r="J82" s="66">
        <f t="shared" si="81"/>
        <v>6</v>
      </c>
      <c r="K82" s="66">
        <f t="shared" si="81"/>
        <v>6</v>
      </c>
      <c r="L82" s="22">
        <f t="shared" si="79"/>
        <v>45</v>
      </c>
      <c r="M82" s="60" t="s">
        <v>33</v>
      </c>
      <c r="N82" s="66">
        <f t="shared" ref="N82:V82" si="82">SUM(N80:N81)</f>
        <v>3</v>
      </c>
      <c r="O82" s="66">
        <f t="shared" si="82"/>
        <v>7</v>
      </c>
      <c r="P82" s="66">
        <f t="shared" si="82"/>
        <v>7</v>
      </c>
      <c r="Q82" s="66">
        <f t="shared" si="82"/>
        <v>6</v>
      </c>
      <c r="R82" s="66">
        <f t="shared" si="82"/>
        <v>5</v>
      </c>
      <c r="S82" s="66">
        <f t="shared" si="82"/>
        <v>5</v>
      </c>
      <c r="T82" s="66">
        <f t="shared" si="82"/>
        <v>6</v>
      </c>
      <c r="U82" s="66">
        <f t="shared" si="82"/>
        <v>5</v>
      </c>
      <c r="V82" s="66">
        <f t="shared" si="82"/>
        <v>8</v>
      </c>
      <c r="W82" s="22">
        <f t="shared" si="80"/>
        <v>52</v>
      </c>
      <c r="X82" s="15">
        <f t="shared" si="70"/>
        <v>97</v>
      </c>
      <c r="Y82" s="61"/>
      <c r="Z82" s="61"/>
      <c r="AA82" s="61"/>
      <c r="AB82" s="61"/>
      <c r="AC82" s="61"/>
      <c r="AD82" s="61"/>
      <c r="AE82" s="61"/>
      <c r="AF82" s="61"/>
      <c r="AG82" s="61"/>
      <c r="AH82" s="64"/>
    </row>
    <row r="83" spans="1:34" ht="15.95" customHeight="1" thickBot="1">
      <c r="A83" s="53"/>
      <c r="B83" s="31" t="s">
        <v>34</v>
      </c>
      <c r="C83" s="32">
        <f>IF(C82=0,0,IF(C82-C6=-3,3,IF(C82-C6=-2,1.5,IF(C82-C6=-1,0.8,IF(C82-C6=0,0.4,IF(C82-C6=1,0,IF(C82-C6&lt;=2&gt;15,0,_xludf.IF)))))))</f>
        <v>0</v>
      </c>
      <c r="D83" s="32">
        <f>IF(D82=0,0,IF(D82-D6=-3,3,IF(D82-D6=-2,1.5,IF(D82-D6=-1,0.8,IF(D82-D6=0,0.4,IF(D82-D6=1,0,IF(D82-D6&lt;=2&gt;15,0,_xludf.IF)))))))</f>
        <v>0</v>
      </c>
      <c r="E83" s="32">
        <f>IF(E82=0,0,IF(E82-E6=-3,3,IF(E82-E6=-2,1.5,IF(E82-E6=-1,0.8,IF(E82-E6=0,0.4,IF(E82-E6=1,0,IF(E82-E6&lt;=2&gt;15,0,_xludf.IF)))))))</f>
        <v>0</v>
      </c>
      <c r="F83" s="32">
        <f>IF(F82=0,0,IF(F82-F6=-3,3,IF(F82-F6=-2,1.5,IF(F82-F6=-1,0.8,IF(F82-F6=0,0.4,IF(F82-F6=1,0,IF(F82-F6&lt;=2&gt;15,0,_xludf.IF)))))))</f>
        <v>0</v>
      </c>
      <c r="G83" s="32">
        <f>IF(G82=0,0,IF(G82-G6=-3,3,IF(G82-G6=-2,1.5,IF(G82-G6=-1,0.8,IF(G82-G6=0,0.4,IF(G82-G6=1,0,IF(G82-G6&lt;=2&gt;15,0,_xludf.IF)))))))</f>
        <v>0.4</v>
      </c>
      <c r="H83" s="32">
        <f>IF(H82=0,0,IF(H82-H6=-3,3,IF(H82-H6=-2,1.5,IF(H82-H6=-1,0.8,IF(H82-H6=0,0.4,IF(H82-H6=1,0,IF(H82-H6&lt;=2&gt;15,0,_xludf.IF)))))))</f>
        <v>0</v>
      </c>
      <c r="I83" s="32">
        <f>IF(I82=0,0,IF(I82-I6=-3,3,IF(I82-I6=-2,1.5,IF(I82-I6=-1,0.8,IF(I82-I6=0,0.4,IF(I82-I6=1,0,IF(I82-I6&lt;=2&gt;15,0,_xludf.IF)))))))</f>
        <v>0</v>
      </c>
      <c r="J83" s="32">
        <f>IF(J82=0,0,IF(J82-J6=-3,3,IF(J82-J6=-2,1.5,IF(J82-J6=-1,0.8,IF(J82-J6=0,0.4,IF(J82-J6=1,0,IF(J82-J6&lt;=2&gt;15,0,_xludf.IF)))))))</f>
        <v>0</v>
      </c>
      <c r="K83" s="32">
        <f>IF(K82=0,0,IF(K82-K6=-3,3,IF(K82-K6=-2,1.5,IF(K82-K6=-1,0.8,IF(K82-K6=0,0.4,IF(K82-K6=1,0,IF(K82-K6&lt;=2&gt;15,0,_xludf.IF)))))))</f>
        <v>0</v>
      </c>
      <c r="L83" s="32">
        <f t="shared" si="79"/>
        <v>0.4</v>
      </c>
      <c r="M83" s="31" t="s">
        <v>34</v>
      </c>
      <c r="N83" s="32">
        <f>IF(N82=0,0,IF(N82-N6=-3,3,IF(N82-N6=-2,1.5,IF(N82-N6=-1,0.8,IF(N82-N6=0,0.4,IF(N82-N6=1,0,IF(N82-N6&lt;=2&gt;15,0,_xludf.IF)))))))</f>
        <v>0.8</v>
      </c>
      <c r="O83" s="32">
        <f>IF(O82=0,0,IF(O82-O6=-3,3,IF(O82-O6=-2,1.5,IF(O82-O6=-1,0.8,IF(O82-O6=0,0.4,IF(O82-O6=1,0,IF(O82-O6&lt;=2&gt;15,0,_xludf.IF)))))))</f>
        <v>0</v>
      </c>
      <c r="P83" s="32">
        <f>IF(P82=0,0,IF(P82-P6=-3,3,IF(P82-P6=-2,1.5,IF(P82-P6=-1,0.8,IF(P82-P6=0,0.4,IF(P82-P6=1,0,IF(P82-P6&lt;=2&gt;15,0,_xludf.IF)))))))</f>
        <v>0</v>
      </c>
      <c r="Q83" s="32">
        <f>IF(Q82=0,0,IF(Q82-Q6=-3,3,IF(Q82-Q6=-2,1.5,IF(Q82-Q6=-1,0.8,IF(Q82-Q6=0,0.4,IF(Q82-Q6=1,0,IF(Q82-Q6&lt;=2&gt;15,0,_xludf.IF)))))))</f>
        <v>0</v>
      </c>
      <c r="R83" s="32">
        <f>IF(R82=0,0,IF(R82-R6=-3,3,IF(R82-R6=-2,1.5,IF(R82-R6=-1,0.8,IF(R82-R6=0,0.4,IF(R82-R6=1,0,IF(R82-R6&lt;=2&gt;15,0,_xludf.IF)))))))</f>
        <v>0.4</v>
      </c>
      <c r="S83" s="32">
        <f>IF(S82=0,0,IF(S82-S6=-3,3,IF(S82-S6=-2,1.5,IF(S82-S6=-1,0.8,IF(S82-S6=0,0.4,IF(S82-S6=1,0,IF(S82-S6&lt;=2&gt;15,0,_xludf.IF)))))))</f>
        <v>0</v>
      </c>
      <c r="T83" s="32">
        <f>IF(T82=0,0,IF(T82-T6=-3,3,IF(T82-T6=-2,1.5,IF(T82-T6=-1,0.8,IF(T82-T6=0,0.4,IF(T82-T6=1,0,IF(T82-T6&lt;=2&gt;15,0,_xludf.IF)))))))</f>
        <v>0</v>
      </c>
      <c r="U83" s="32">
        <f>IF(U82=0,0,IF(U82-U6=-3,3,IF(U82-U6=-2,1.5,IF(U82-U6=-1,0.8,IF(U82-U6=0,0.4,IF(U82-U6=1,0,IF(U82-U6&lt;=2&gt;15,0,_xludf.IF)))))))</f>
        <v>0</v>
      </c>
      <c r="V83" s="32">
        <f>IF(V82=0,0,IF(V82-V6=-3,3,IF(V82-V6=-2,1.5,IF(V82-V6=-1,0.8,IF(V82-V6=0,0.4,IF(V82-V6=1,0,IF(V82-V6&lt;=2&gt;15,0,_xludf.IF)))))))</f>
        <v>0</v>
      </c>
      <c r="W83" s="32">
        <f t="shared" si="80"/>
        <v>1.2000000000000002</v>
      </c>
      <c r="X83" s="30">
        <f t="shared" si="70"/>
        <v>1.6</v>
      </c>
      <c r="Y83" s="61"/>
      <c r="Z83" s="61"/>
      <c r="AA83" s="61"/>
      <c r="AB83" s="61"/>
      <c r="AC83" s="61"/>
      <c r="AD83" s="61"/>
      <c r="AE83" s="61"/>
      <c r="AF83" s="61"/>
      <c r="AG83" s="61"/>
      <c r="AH83" s="64"/>
    </row>
    <row r="84" spans="1:34" ht="15.95" customHeight="1">
      <c r="A84" s="80" t="s">
        <v>11</v>
      </c>
      <c r="B84" s="62" t="s">
        <v>32</v>
      </c>
      <c r="C84" s="59">
        <v>5</v>
      </c>
      <c r="D84" s="59">
        <v>7</v>
      </c>
      <c r="E84" s="59">
        <v>4</v>
      </c>
      <c r="F84" s="59">
        <v>6</v>
      </c>
      <c r="G84" s="59">
        <v>7</v>
      </c>
      <c r="H84" s="59">
        <v>9</v>
      </c>
      <c r="I84" s="59">
        <v>4</v>
      </c>
      <c r="J84" s="59">
        <v>6</v>
      </c>
      <c r="K84" s="59">
        <v>5</v>
      </c>
      <c r="L84" s="26">
        <f>SUM(C84:K84)</f>
        <v>53</v>
      </c>
      <c r="M84" s="62" t="s">
        <v>32</v>
      </c>
      <c r="N84" s="59">
        <v>6</v>
      </c>
      <c r="O84" s="59">
        <v>5</v>
      </c>
      <c r="P84" s="59">
        <v>4</v>
      </c>
      <c r="Q84" s="59">
        <v>4</v>
      </c>
      <c r="R84" s="59">
        <v>7</v>
      </c>
      <c r="S84" s="59">
        <v>7</v>
      </c>
      <c r="T84" s="59">
        <v>10</v>
      </c>
      <c r="U84" s="59">
        <v>4</v>
      </c>
      <c r="V84" s="59">
        <v>8</v>
      </c>
      <c r="W84" s="26">
        <f>SUM(N84:V84)</f>
        <v>55</v>
      </c>
      <c r="X84" s="33">
        <f t="shared" si="70"/>
        <v>108</v>
      </c>
      <c r="Y84" s="61"/>
      <c r="Z84" s="61"/>
      <c r="AA84" s="61"/>
      <c r="AB84" s="61"/>
      <c r="AC84" s="61"/>
      <c r="AD84" s="61"/>
      <c r="AE84" s="61"/>
      <c r="AF84" s="61"/>
      <c r="AG84" s="61"/>
      <c r="AH84" s="64"/>
    </row>
    <row r="85" spans="1:34" ht="15.95" customHeight="1">
      <c r="A85" s="81">
        <v>14</v>
      </c>
      <c r="B85" s="27" t="s">
        <v>31</v>
      </c>
      <c r="C85" s="69">
        <v>-1</v>
      </c>
      <c r="D85" s="69">
        <v>-1</v>
      </c>
      <c r="E85" s="69"/>
      <c r="F85" s="69">
        <v>-1</v>
      </c>
      <c r="G85" s="69">
        <v>-1</v>
      </c>
      <c r="H85" s="69">
        <v>-1</v>
      </c>
      <c r="I85" s="69"/>
      <c r="J85" s="69">
        <v>-1</v>
      </c>
      <c r="K85" s="69">
        <v>-1</v>
      </c>
      <c r="L85" s="24">
        <f t="shared" ref="L85:L86" si="83">SUM(C85:K85)</f>
        <v>-7</v>
      </c>
      <c r="M85" s="27" t="s">
        <v>31</v>
      </c>
      <c r="N85" s="69">
        <v>-1</v>
      </c>
      <c r="O85" s="69">
        <v>-1</v>
      </c>
      <c r="P85" s="69"/>
      <c r="Q85" s="69">
        <v>-1</v>
      </c>
      <c r="R85" s="69">
        <v>-1</v>
      </c>
      <c r="S85" s="69">
        <v>-1</v>
      </c>
      <c r="T85" s="69">
        <v>-1</v>
      </c>
      <c r="U85" s="69"/>
      <c r="V85" s="69">
        <v>-1</v>
      </c>
      <c r="W85" s="24">
        <f t="shared" ref="W85:W87" si="84">SUM(N85:V85)</f>
        <v>-7</v>
      </c>
      <c r="X85" s="25">
        <f t="shared" si="70"/>
        <v>-14</v>
      </c>
      <c r="Y85" s="61"/>
      <c r="Z85" s="61"/>
      <c r="AA85" s="61"/>
      <c r="AB85" s="61"/>
      <c r="AC85" s="61"/>
      <c r="AD85" s="61"/>
      <c r="AE85" s="61"/>
      <c r="AF85" s="61"/>
      <c r="AG85" s="61"/>
      <c r="AH85" s="64"/>
    </row>
    <row r="86" spans="1:34" ht="15.95" customHeight="1">
      <c r="A86" s="37"/>
      <c r="B86" s="60" t="s">
        <v>33</v>
      </c>
      <c r="C86" s="66">
        <f t="shared" ref="C86:K86" si="85">SUM(C84:C85)</f>
        <v>4</v>
      </c>
      <c r="D86" s="66">
        <f t="shared" si="85"/>
        <v>6</v>
      </c>
      <c r="E86" s="66">
        <f t="shared" si="85"/>
        <v>4</v>
      </c>
      <c r="F86" s="66">
        <f t="shared" si="85"/>
        <v>5</v>
      </c>
      <c r="G86" s="66">
        <f t="shared" si="85"/>
        <v>6</v>
      </c>
      <c r="H86" s="66">
        <f t="shared" si="85"/>
        <v>8</v>
      </c>
      <c r="I86" s="66">
        <f t="shared" si="85"/>
        <v>4</v>
      </c>
      <c r="J86" s="66">
        <f t="shared" si="85"/>
        <v>5</v>
      </c>
      <c r="K86" s="66">
        <f t="shared" si="85"/>
        <v>4</v>
      </c>
      <c r="L86" s="22">
        <f t="shared" si="83"/>
        <v>46</v>
      </c>
      <c r="M86" s="60" t="s">
        <v>33</v>
      </c>
      <c r="N86" s="66">
        <f t="shared" ref="N86:V86" si="86">SUM(N84:N85)</f>
        <v>5</v>
      </c>
      <c r="O86" s="66">
        <f t="shared" si="86"/>
        <v>4</v>
      </c>
      <c r="P86" s="66">
        <f t="shared" si="86"/>
        <v>4</v>
      </c>
      <c r="Q86" s="66">
        <f t="shared" si="86"/>
        <v>3</v>
      </c>
      <c r="R86" s="66">
        <f t="shared" si="86"/>
        <v>6</v>
      </c>
      <c r="S86" s="66">
        <f t="shared" si="86"/>
        <v>6</v>
      </c>
      <c r="T86" s="66">
        <f t="shared" si="86"/>
        <v>9</v>
      </c>
      <c r="U86" s="66">
        <f t="shared" si="86"/>
        <v>4</v>
      </c>
      <c r="V86" s="66">
        <f t="shared" si="86"/>
        <v>7</v>
      </c>
      <c r="W86" s="22">
        <f t="shared" si="84"/>
        <v>48</v>
      </c>
      <c r="X86" s="15">
        <f t="shared" si="70"/>
        <v>94</v>
      </c>
      <c r="Y86" s="61"/>
      <c r="Z86" s="61"/>
      <c r="AA86" s="61"/>
      <c r="AB86" s="61"/>
      <c r="AC86" s="61"/>
      <c r="AD86" s="61"/>
      <c r="AE86" s="61"/>
      <c r="AF86" s="61"/>
      <c r="AG86" s="61"/>
      <c r="AH86" s="64"/>
    </row>
    <row r="87" spans="1:34" ht="15.75" customHeight="1" thickBot="1">
      <c r="A87" s="53"/>
      <c r="B87" s="31" t="s">
        <v>34</v>
      </c>
      <c r="C87" s="32">
        <f>IF(C86=0,0,IF(C86-C6=-3,3,IF(C86-C6=-2,1.5,IF(C86-C6=-1,0.8,IF(C86-C6=0,0.4,IF(C86-C6=1,0,IF(C86-C6&lt;=2&gt;15,0,_xludf.IF)))))))</f>
        <v>0.4</v>
      </c>
      <c r="D87" s="32">
        <f>IF(D86=0,0,IF(D86-D6=-3,3,IF(D86-D6=-2,1.5,IF(D86-D6=-1,0.8,IF(D86-D6=0,0.4,IF(D86-D6=1,0,IF(D86-D6&lt;=2&gt;15,0,_xludf.IF)))))))</f>
        <v>0</v>
      </c>
      <c r="E87" s="32">
        <f>IF(E86=0,0,IF(E86-E6=-3,3,IF(E86-E6=-2,1.5,IF(E86-E6=-1,0.8,IF(E86-E6=0,0.4,IF(E86-E6=1,0,IF(E86-E6&lt;=2&gt;15,0,_xludf.IF)))))))</f>
        <v>0</v>
      </c>
      <c r="F87" s="32">
        <f>IF(F86=0,0,IF(F86-F6=-3,3,IF(F86-F6=-2,1.5,IF(F86-F6=-1,0.8,IF(F86-F6=0,0.4,IF(F86-F6=1,0,IF(F86-F6&lt;=2&gt;15,0,_xludf.IF)))))))</f>
        <v>0</v>
      </c>
      <c r="G87" s="32">
        <f>IF(G86=0,0,IF(G86-G6=-3,3,IF(G86-G6=-2,1.5,IF(G86-G6=-1,0.8,IF(G86-G6=0,0.4,IF(G86-G6=1,0,IF(G86-G6&lt;=2&gt;15,0,_xludf.IF)))))))</f>
        <v>0</v>
      </c>
      <c r="H87" s="32">
        <f>IF(H86=0,0,IF(H86-H6=-3,3,IF(H86-H6=-2,1.5,IF(H86-H6=-1,0.8,IF(H86-H6=0,0.4,IF(H86-H6=1,0,IF(H86-H6&lt;=2&gt;15,0,_xludf.IF)))))))</f>
        <v>0</v>
      </c>
      <c r="I87" s="32">
        <f>IF(I86=0,0,IF(I86-I6=-3,3,IF(I86-I6=-2,1.5,IF(I86-I6=-1,0.8,IF(I86-I6=0,0.4,IF(I86-I6=1,0,IF(I86-I6&lt;=2&gt;15,0,_xludf.IF)))))))</f>
        <v>0</v>
      </c>
      <c r="J87" s="32">
        <f>IF(J86=0,0,IF(J86-J6=-3,3,IF(J86-J6=-2,1.5,IF(J86-J6=-1,0.8,IF(J86-J6=0,0.4,IF(J86-J6=1,0,IF(J86-J6&lt;=2&gt;15,0,_xludf.IF)))))))</f>
        <v>0.4</v>
      </c>
      <c r="K87" s="32">
        <f>IF(K86=0,0,IF(K86-K6=-3,3,IF(K86-K6=-2,1.5,IF(K86-K6=-1,0.8,IF(K86-K6=0,0.4,IF(K86-K6=1,0,IF(K86-K6&lt;=2&gt;15,0,_xludf.IF)))))))</f>
        <v>0.4</v>
      </c>
      <c r="L87" s="32">
        <f>SUM(C87:K87)</f>
        <v>1.2000000000000002</v>
      </c>
      <c r="M87" s="31" t="s">
        <v>34</v>
      </c>
      <c r="N87" s="32">
        <f>IF(N86=0,0,IF(N86-N6=-3,3,IF(N86-N6=-2,1.5,IF(N86-N6=-1,0.8,IF(N86-N6=0,0.4,IF(N86-N6=1,0,IF(N86-N6&lt;=2&gt;15,0,_xludf.IF)))))))</f>
        <v>0</v>
      </c>
      <c r="O87" s="32">
        <f>IF(O86=0,0,IF(O86-O6=-3,3,IF(O86-O6=-2,1.5,IF(O86-O6=-1,0.8,IF(O86-O6=0,0.4,IF(O86-O6=1,0,IF(O86-O6&lt;=2&gt;15,0,_xludf.IF)))))))</f>
        <v>0.4</v>
      </c>
      <c r="P87" s="32">
        <f>IF(P86=0,0,IF(P86-P6=-3,3,IF(P86-P6=-2,1.5,IF(P86-P6=-1,0.8,IF(P86-P6=0,0.4,IF(P86-P6=1,0,IF(P86-P6&lt;=2&gt;15,0,_xludf.IF)))))))</f>
        <v>0</v>
      </c>
      <c r="Q87" s="32">
        <f>IF(Q86=0,0,IF(Q86-Q6=-3,3,IF(Q86-Q6=-2,1.5,IF(Q86-Q6=-1,0.8,IF(Q86-Q6=0,0.4,IF(Q86-Q6=1,0,IF(Q86-Q6&lt;=2&gt;15,0,_xludf.IF)))))))</f>
        <v>0.8</v>
      </c>
      <c r="R87" s="32">
        <f>IF(R86=0,0,IF(R86-R6=-3,3,IF(R86-R6=-2,1.5,IF(R86-R6=-1,0.8,IF(R86-R6=0,0.4,IF(R86-R6=1,0,IF(R86-R6&lt;=2&gt;15,0,_xludf.IF)))))))</f>
        <v>0</v>
      </c>
      <c r="S87" s="32">
        <f>IF(S86=0,0,IF(S86-S6=-3,3,IF(S86-S6=-2,1.5,IF(S86-S6=-1,0.8,IF(S86-S6=0,0.4,IF(S86-S6=1,0,IF(S86-S6&lt;=2&gt;15,0,_xludf.IF)))))))</f>
        <v>0</v>
      </c>
      <c r="T87" s="32">
        <f>IF(T86=0,0,IF(T86-T6=-3,3,IF(T86-T6=-2,1.5,IF(T86-T6=-1,0.8,IF(T86-T6=0,0.4,IF(T86-T6=1,0,IF(T86-T6&lt;=2&gt;15,0,_xludf.IF)))))))</f>
        <v>0</v>
      </c>
      <c r="U87" s="32">
        <f>IF(U86=0,0,IF(U86-U6=-3,3,IF(U86-U6=-2,1.5,IF(U86-U6=-1,0.8,IF(U86-U6=0,0.4,IF(U86-U6=1,0,IF(U86-U6&lt;=2&gt;15,0,_xludf.IF)))))))</f>
        <v>0</v>
      </c>
      <c r="V87" s="32">
        <f>IF(V86=0,0,IF(V86-V6=-3,3,IF(V86-V6=-2,1.5,IF(V86-V6=-1,0.8,IF(V86-V6=0,0.4,IF(V86-V6=1,0,IF(V86-V6&lt;=2&gt;15,0,_xludf.IF)))))))</f>
        <v>0</v>
      </c>
      <c r="W87" s="32">
        <f t="shared" si="84"/>
        <v>1.2000000000000002</v>
      </c>
      <c r="X87" s="30">
        <f t="shared" si="70"/>
        <v>2.4000000000000004</v>
      </c>
      <c r="Y87" s="61"/>
      <c r="Z87" s="61"/>
      <c r="AA87" s="61"/>
      <c r="AB87" s="61"/>
      <c r="AC87" s="61"/>
      <c r="AD87" s="61"/>
      <c r="AE87" s="61"/>
      <c r="AF87" s="61"/>
      <c r="AG87" s="61"/>
      <c r="AH87" s="64"/>
    </row>
    <row r="91" spans="1:34" ht="28.5" customHeight="1">
      <c r="A91" s="89" t="s">
        <v>40</v>
      </c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61"/>
      <c r="Z91" s="61"/>
      <c r="AA91" s="61"/>
      <c r="AB91" s="61"/>
      <c r="AC91" s="61"/>
      <c r="AD91" s="61"/>
      <c r="AE91" s="61"/>
      <c r="AF91" s="61"/>
      <c r="AG91" s="61"/>
      <c r="AH91" s="64"/>
    </row>
    <row r="92" spans="1:34" s="1" customFormat="1" ht="15.75" customHeight="1">
      <c r="A92" s="90" t="s">
        <v>41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AH92" s="2"/>
    </row>
    <row r="93" spans="1:34" ht="15.75" customHeight="1">
      <c r="A93" s="35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Y93" s="61"/>
      <c r="Z93" s="61"/>
      <c r="AA93" s="61"/>
      <c r="AB93" s="61"/>
      <c r="AC93" s="61"/>
      <c r="AD93" s="61"/>
      <c r="AE93" s="61"/>
      <c r="AF93" s="61"/>
      <c r="AG93" s="61"/>
      <c r="AH93" s="64"/>
    </row>
    <row r="94" spans="1:34" s="9" customFormat="1" ht="15.75" customHeight="1">
      <c r="A94" s="36"/>
      <c r="B94" s="7"/>
      <c r="C94" s="7">
        <v>1</v>
      </c>
      <c r="D94" s="7">
        <v>2</v>
      </c>
      <c r="E94" s="7">
        <v>3</v>
      </c>
      <c r="F94" s="7">
        <v>4</v>
      </c>
      <c r="G94" s="7">
        <v>5</v>
      </c>
      <c r="H94" s="7">
        <v>6</v>
      </c>
      <c r="I94" s="7">
        <v>7</v>
      </c>
      <c r="J94" s="7">
        <v>8</v>
      </c>
      <c r="K94" s="7">
        <v>9</v>
      </c>
      <c r="L94" s="8" t="s">
        <v>26</v>
      </c>
      <c r="M94" s="7"/>
      <c r="N94" s="7">
        <v>10</v>
      </c>
      <c r="O94" s="7">
        <v>11</v>
      </c>
      <c r="P94" s="7">
        <v>12</v>
      </c>
      <c r="Q94" s="7">
        <v>13</v>
      </c>
      <c r="R94" s="7">
        <v>14</v>
      </c>
      <c r="S94" s="7">
        <v>15</v>
      </c>
      <c r="T94" s="7">
        <v>16</v>
      </c>
      <c r="U94" s="7">
        <v>17</v>
      </c>
      <c r="V94" s="7">
        <v>18</v>
      </c>
      <c r="W94" s="8" t="s">
        <v>26</v>
      </c>
      <c r="X94" s="8" t="s">
        <v>27</v>
      </c>
    </row>
    <row r="95" spans="1:34" s="9" customFormat="1" ht="15.95" customHeight="1">
      <c r="A95" s="11" t="s">
        <v>28</v>
      </c>
      <c r="B95" s="10" t="s">
        <v>29</v>
      </c>
      <c r="C95" s="20">
        <v>485</v>
      </c>
      <c r="D95" s="20">
        <v>380</v>
      </c>
      <c r="E95" s="20">
        <v>145</v>
      </c>
      <c r="F95" s="20">
        <v>562</v>
      </c>
      <c r="G95" s="20">
        <v>184</v>
      </c>
      <c r="H95" s="20">
        <v>322</v>
      </c>
      <c r="I95" s="20">
        <v>385</v>
      </c>
      <c r="J95" s="20">
        <v>200</v>
      </c>
      <c r="K95" s="20">
        <v>471</v>
      </c>
      <c r="L95" s="11">
        <f>SUM(C95:K95)</f>
        <v>3134</v>
      </c>
      <c r="M95" s="10" t="s">
        <v>29</v>
      </c>
      <c r="N95" s="20">
        <v>373</v>
      </c>
      <c r="O95" s="20">
        <v>193</v>
      </c>
      <c r="P95" s="20">
        <v>524</v>
      </c>
      <c r="Q95" s="20">
        <v>402</v>
      </c>
      <c r="R95" s="20">
        <v>405</v>
      </c>
      <c r="S95" s="20">
        <v>167</v>
      </c>
      <c r="T95" s="20">
        <v>425</v>
      </c>
      <c r="U95" s="20">
        <v>537</v>
      </c>
      <c r="V95" s="20">
        <v>170</v>
      </c>
      <c r="W95" s="11">
        <f>SUM(N95:V95)</f>
        <v>3196</v>
      </c>
      <c r="X95" s="11" t="s">
        <v>1</v>
      </c>
    </row>
    <row r="96" spans="1:34" s="9" customFormat="1" ht="15.95" customHeight="1">
      <c r="A96" s="12"/>
      <c r="B96" s="12" t="s">
        <v>30</v>
      </c>
      <c r="C96" s="21">
        <v>5</v>
      </c>
      <c r="D96" s="21">
        <v>4</v>
      </c>
      <c r="E96" s="21">
        <v>3</v>
      </c>
      <c r="F96" s="21">
        <v>5</v>
      </c>
      <c r="G96" s="21">
        <v>3</v>
      </c>
      <c r="H96" s="21">
        <v>4</v>
      </c>
      <c r="I96" s="21">
        <v>4</v>
      </c>
      <c r="J96" s="21">
        <v>3</v>
      </c>
      <c r="K96" s="21">
        <v>5</v>
      </c>
      <c r="L96" s="12">
        <f>SUM(C96:K96)</f>
        <v>36</v>
      </c>
      <c r="M96" s="12" t="s">
        <v>30</v>
      </c>
      <c r="N96" s="21">
        <v>4</v>
      </c>
      <c r="O96" s="21">
        <v>3</v>
      </c>
      <c r="P96" s="21">
        <v>5</v>
      </c>
      <c r="Q96" s="21">
        <v>4</v>
      </c>
      <c r="R96" s="21">
        <v>4</v>
      </c>
      <c r="S96" s="21">
        <v>3</v>
      </c>
      <c r="T96" s="21">
        <v>4</v>
      </c>
      <c r="U96" s="21">
        <v>5</v>
      </c>
      <c r="V96" s="21">
        <v>3</v>
      </c>
      <c r="W96" s="12">
        <f>SUM(N96:V96)</f>
        <v>35</v>
      </c>
      <c r="X96" s="13"/>
    </row>
    <row r="97" spans="1:34" s="9" customFormat="1" ht="15.95" customHeight="1">
      <c r="A97" s="14"/>
      <c r="B97" s="15" t="s">
        <v>31</v>
      </c>
      <c r="C97" s="23">
        <v>8</v>
      </c>
      <c r="D97" s="23">
        <v>7</v>
      </c>
      <c r="E97" s="23">
        <v>18</v>
      </c>
      <c r="F97" s="23">
        <v>1</v>
      </c>
      <c r="G97" s="23">
        <v>15</v>
      </c>
      <c r="H97" s="23">
        <v>11</v>
      </c>
      <c r="I97" s="23">
        <v>10</v>
      </c>
      <c r="J97" s="23">
        <v>12</v>
      </c>
      <c r="K97" s="23">
        <v>3</v>
      </c>
      <c r="L97" s="15"/>
      <c r="M97" s="15" t="s">
        <v>31</v>
      </c>
      <c r="N97" s="23">
        <v>6</v>
      </c>
      <c r="O97" s="23">
        <v>13</v>
      </c>
      <c r="P97" s="23">
        <v>4</v>
      </c>
      <c r="Q97" s="23">
        <v>9</v>
      </c>
      <c r="R97" s="23">
        <v>5</v>
      </c>
      <c r="S97" s="23">
        <v>16</v>
      </c>
      <c r="T97" s="23">
        <v>2</v>
      </c>
      <c r="U97" s="23">
        <v>14</v>
      </c>
      <c r="V97" s="23">
        <v>17</v>
      </c>
      <c r="W97" s="15"/>
      <c r="X97" s="14"/>
    </row>
    <row r="98" spans="1:34" ht="15.95" customHeight="1">
      <c r="A98" s="76" t="s">
        <v>14</v>
      </c>
      <c r="B98" s="65" t="s">
        <v>32</v>
      </c>
      <c r="C98" s="58">
        <v>5</v>
      </c>
      <c r="D98" s="58">
        <v>7</v>
      </c>
      <c r="E98" s="58">
        <v>4</v>
      </c>
      <c r="F98" s="58">
        <v>6</v>
      </c>
      <c r="G98" s="58">
        <v>4</v>
      </c>
      <c r="H98" s="58">
        <v>5</v>
      </c>
      <c r="I98" s="58">
        <v>5</v>
      </c>
      <c r="J98" s="58">
        <v>5</v>
      </c>
      <c r="K98" s="58">
        <v>4</v>
      </c>
      <c r="L98" s="26">
        <f>SUM(C98:K98)</f>
        <v>45</v>
      </c>
      <c r="M98" s="65" t="s">
        <v>32</v>
      </c>
      <c r="N98" s="58">
        <v>6</v>
      </c>
      <c r="O98" s="58">
        <v>2</v>
      </c>
      <c r="P98" s="58">
        <v>7</v>
      </c>
      <c r="Q98" s="58">
        <v>4</v>
      </c>
      <c r="R98" s="58">
        <v>4</v>
      </c>
      <c r="S98" s="58">
        <v>6</v>
      </c>
      <c r="T98" s="58">
        <v>4</v>
      </c>
      <c r="U98" s="58">
        <v>5</v>
      </c>
      <c r="V98" s="58">
        <v>4</v>
      </c>
      <c r="W98" s="22">
        <f>SUM(N98:V98)</f>
        <v>42</v>
      </c>
      <c r="X98" s="15">
        <f t="shared" ref="X98:X99" si="87">L98+W98</f>
        <v>87</v>
      </c>
      <c r="Y98" s="61"/>
      <c r="Z98" s="61"/>
      <c r="AA98" s="61"/>
      <c r="AB98" s="61"/>
      <c r="AC98" s="61"/>
      <c r="AD98" s="61"/>
      <c r="AE98" s="61"/>
      <c r="AF98" s="61"/>
      <c r="AG98" s="61"/>
      <c r="AH98" s="61"/>
    </row>
    <row r="99" spans="1:34" s="29" customFormat="1" ht="15.95" customHeight="1">
      <c r="A99" s="77">
        <v>2</v>
      </c>
      <c r="B99" s="27" t="s">
        <v>31</v>
      </c>
      <c r="C99" s="28"/>
      <c r="D99" s="28"/>
      <c r="E99" s="28"/>
      <c r="F99" s="28">
        <v>-1</v>
      </c>
      <c r="G99" s="28"/>
      <c r="H99" s="28"/>
      <c r="I99" s="28"/>
      <c r="J99" s="28"/>
      <c r="K99" s="28"/>
      <c r="L99" s="24">
        <f t="shared" ref="L99:L100" si="88">SUM(C99:K99)</f>
        <v>-1</v>
      </c>
      <c r="M99" s="27" t="s">
        <v>31</v>
      </c>
      <c r="N99" s="28"/>
      <c r="O99" s="28"/>
      <c r="P99" s="28"/>
      <c r="Q99" s="28"/>
      <c r="R99" s="28"/>
      <c r="S99" s="28"/>
      <c r="T99" s="28">
        <v>-1</v>
      </c>
      <c r="U99" s="28"/>
      <c r="V99" s="28"/>
      <c r="W99" s="24">
        <f t="shared" ref="W99:W101" si="89">SUM(N99:V99)</f>
        <v>-1</v>
      </c>
      <c r="X99" s="25">
        <f t="shared" si="87"/>
        <v>-2</v>
      </c>
    </row>
    <row r="100" spans="1:34" ht="15.95" customHeight="1">
      <c r="A100" s="37"/>
      <c r="B100" s="60" t="s">
        <v>33</v>
      </c>
      <c r="C100" s="66">
        <f t="shared" ref="C100:K100" si="90">SUM(C98:C99)</f>
        <v>5</v>
      </c>
      <c r="D100" s="66">
        <f t="shared" si="90"/>
        <v>7</v>
      </c>
      <c r="E100" s="66">
        <f t="shared" si="90"/>
        <v>4</v>
      </c>
      <c r="F100" s="66">
        <f t="shared" si="90"/>
        <v>5</v>
      </c>
      <c r="G100" s="66">
        <f t="shared" si="90"/>
        <v>4</v>
      </c>
      <c r="H100" s="66">
        <f t="shared" si="90"/>
        <v>5</v>
      </c>
      <c r="I100" s="66">
        <f t="shared" si="90"/>
        <v>5</v>
      </c>
      <c r="J100" s="66">
        <f t="shared" si="90"/>
        <v>5</v>
      </c>
      <c r="K100" s="66">
        <f t="shared" si="90"/>
        <v>4</v>
      </c>
      <c r="L100" s="22">
        <f t="shared" si="88"/>
        <v>44</v>
      </c>
      <c r="M100" s="60" t="s">
        <v>33</v>
      </c>
      <c r="N100" s="66">
        <f t="shared" ref="N100:V100" si="91">SUM(N98:N99)</f>
        <v>6</v>
      </c>
      <c r="O100" s="66">
        <f t="shared" si="91"/>
        <v>2</v>
      </c>
      <c r="P100" s="66">
        <f t="shared" si="91"/>
        <v>7</v>
      </c>
      <c r="Q100" s="66">
        <f t="shared" si="91"/>
        <v>4</v>
      </c>
      <c r="R100" s="66">
        <f t="shared" si="91"/>
        <v>4</v>
      </c>
      <c r="S100" s="66">
        <f t="shared" si="91"/>
        <v>6</v>
      </c>
      <c r="T100" s="66">
        <f t="shared" si="91"/>
        <v>3</v>
      </c>
      <c r="U100" s="66">
        <f t="shared" si="91"/>
        <v>5</v>
      </c>
      <c r="V100" s="66">
        <f t="shared" si="91"/>
        <v>4</v>
      </c>
      <c r="W100" s="22">
        <f t="shared" si="89"/>
        <v>41</v>
      </c>
      <c r="X100" s="15">
        <f>L100+W100</f>
        <v>85</v>
      </c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</row>
    <row r="101" spans="1:34" ht="15.95" customHeight="1" thickBot="1">
      <c r="A101" s="53"/>
      <c r="B101" s="31" t="s">
        <v>34</v>
      </c>
      <c r="C101" s="32">
        <f t="shared" ref="C101:G101" si="92">IF(C100=0,0,IF(C100-C96=-3,3,IF(C100-C96=-2,1.5,IF(C100-C96=-1,0.8,IF(C100-C96=0,0.4,IF(C100-C96=1,0,IF(C100-C96&lt;=2&gt;15,0,_xludf.IF)))))))</f>
        <v>0.4</v>
      </c>
      <c r="D101" s="32">
        <f t="shared" si="92"/>
        <v>0</v>
      </c>
      <c r="E101" s="32">
        <f t="shared" si="92"/>
        <v>0</v>
      </c>
      <c r="F101" s="32">
        <f t="shared" si="92"/>
        <v>0.4</v>
      </c>
      <c r="G101" s="32">
        <f t="shared" si="92"/>
        <v>0</v>
      </c>
      <c r="H101" s="32">
        <f>IF(H100=0,0,IF(H100-H96=-3,3,IF(H100-H96=-2,1.5,IF(H100-H96=-1,0.8,IF(H100-H96=0,0.4,IF(H100-H96=1,0,IF(H100-H96&lt;=2&gt;15,0,_xludf.IF)))))))</f>
        <v>0</v>
      </c>
      <c r="I101" s="32">
        <f t="shared" ref="I101:K101" si="93">IF(I100=0,0,IF(I100-I96=-3,3,IF(I100-I96=-2,1.5,IF(I100-I96=-1,0.8,IF(I100-I96=0,0.4,IF(I100-I96=1,0,IF(I100-I96&lt;=2&gt;15,0,_xludf.IF)))))))</f>
        <v>0</v>
      </c>
      <c r="J101" s="32">
        <f t="shared" si="93"/>
        <v>0</v>
      </c>
      <c r="K101" s="32">
        <f t="shared" si="93"/>
        <v>0.8</v>
      </c>
      <c r="L101" s="32">
        <f>SUM(C101:K101)</f>
        <v>1.6</v>
      </c>
      <c r="M101" s="31" t="s">
        <v>34</v>
      </c>
      <c r="N101" s="32">
        <f t="shared" ref="N101:V101" si="94">IF(N100=0,0,IF(N100-N96=-3,3,IF(N100-N96=-2,1.5,IF(N100-N96=-1,0.8,IF(N100-N96=0,0.4,IF(N100-N96=1,0,IF(N100-N96&lt;=2&gt;15,0,_xludf.IF)))))))</f>
        <v>0</v>
      </c>
      <c r="O101" s="32">
        <f t="shared" si="94"/>
        <v>0.8</v>
      </c>
      <c r="P101" s="32">
        <f t="shared" si="94"/>
        <v>0</v>
      </c>
      <c r="Q101" s="32">
        <f t="shared" si="94"/>
        <v>0.4</v>
      </c>
      <c r="R101" s="32">
        <f t="shared" si="94"/>
        <v>0.4</v>
      </c>
      <c r="S101" s="32">
        <f t="shared" si="94"/>
        <v>0</v>
      </c>
      <c r="T101" s="32">
        <f t="shared" si="94"/>
        <v>0.8</v>
      </c>
      <c r="U101" s="32">
        <f t="shared" si="94"/>
        <v>0.4</v>
      </c>
      <c r="V101" s="32">
        <f t="shared" si="94"/>
        <v>0</v>
      </c>
      <c r="W101" s="32">
        <f t="shared" si="89"/>
        <v>2.8000000000000003</v>
      </c>
      <c r="X101" s="30">
        <f t="shared" ref="X101:X164" si="95">L101+W101</f>
        <v>4.4000000000000004</v>
      </c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</row>
    <row r="102" spans="1:34" ht="15.95" customHeight="1">
      <c r="A102" s="76" t="s">
        <v>35</v>
      </c>
      <c r="B102" s="62" t="s">
        <v>32</v>
      </c>
      <c r="C102" s="58">
        <v>5</v>
      </c>
      <c r="D102" s="58">
        <v>5</v>
      </c>
      <c r="E102" s="58">
        <v>4</v>
      </c>
      <c r="F102" s="58">
        <v>5</v>
      </c>
      <c r="G102" s="58">
        <v>3</v>
      </c>
      <c r="H102" s="58">
        <v>5</v>
      </c>
      <c r="I102" s="58">
        <v>4</v>
      </c>
      <c r="J102" s="58">
        <v>4</v>
      </c>
      <c r="K102" s="58">
        <v>8</v>
      </c>
      <c r="L102" s="26">
        <f>SUM(C102:K102)</f>
        <v>43</v>
      </c>
      <c r="M102" s="62" t="s">
        <v>32</v>
      </c>
      <c r="N102" s="58">
        <v>5</v>
      </c>
      <c r="O102" s="58">
        <v>4</v>
      </c>
      <c r="P102" s="58">
        <v>10</v>
      </c>
      <c r="Q102" s="58">
        <v>5</v>
      </c>
      <c r="R102" s="58">
        <v>4</v>
      </c>
      <c r="S102" s="58">
        <v>6</v>
      </c>
      <c r="T102" s="58">
        <v>8</v>
      </c>
      <c r="U102" s="58">
        <v>7</v>
      </c>
      <c r="V102" s="58">
        <v>3</v>
      </c>
      <c r="W102" s="26">
        <f>SUM(N102:V102)</f>
        <v>52</v>
      </c>
      <c r="X102" s="33">
        <f t="shared" si="95"/>
        <v>95</v>
      </c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</row>
    <row r="103" spans="1:34" s="29" customFormat="1" ht="15.95" customHeight="1">
      <c r="A103" s="77">
        <v>5</v>
      </c>
      <c r="B103" s="27" t="s">
        <v>31</v>
      </c>
      <c r="C103" s="28"/>
      <c r="D103" s="28"/>
      <c r="E103" s="28"/>
      <c r="F103" s="28">
        <v>-1</v>
      </c>
      <c r="G103" s="28"/>
      <c r="H103" s="28"/>
      <c r="I103" s="69"/>
      <c r="J103" s="69"/>
      <c r="K103" s="28">
        <v>-1</v>
      </c>
      <c r="L103" s="24">
        <f t="shared" ref="L103:L105" si="96">SUM(C103:K103)</f>
        <v>-2</v>
      </c>
      <c r="M103" s="27" t="s">
        <v>31</v>
      </c>
      <c r="N103" s="69"/>
      <c r="O103" s="69"/>
      <c r="P103" s="28">
        <v>-1</v>
      </c>
      <c r="Q103" s="69"/>
      <c r="R103" s="69">
        <v>-1</v>
      </c>
      <c r="S103" s="28"/>
      <c r="T103" s="28">
        <v>-1</v>
      </c>
      <c r="U103" s="28"/>
      <c r="V103" s="28"/>
      <c r="W103" s="24">
        <f t="shared" ref="W103:W105" si="97">SUM(N103:V103)</f>
        <v>-3</v>
      </c>
      <c r="X103" s="25">
        <f t="shared" si="95"/>
        <v>-5</v>
      </c>
    </row>
    <row r="104" spans="1:34" ht="15.95" customHeight="1">
      <c r="A104" s="37"/>
      <c r="B104" s="60" t="s">
        <v>33</v>
      </c>
      <c r="C104" s="66">
        <f t="shared" ref="C104:K104" si="98">SUM(C102:C103)</f>
        <v>5</v>
      </c>
      <c r="D104" s="66">
        <f t="shared" si="98"/>
        <v>5</v>
      </c>
      <c r="E104" s="66">
        <f t="shared" si="98"/>
        <v>4</v>
      </c>
      <c r="F104" s="66">
        <f t="shared" si="98"/>
        <v>4</v>
      </c>
      <c r="G104" s="66">
        <f t="shared" si="98"/>
        <v>3</v>
      </c>
      <c r="H104" s="66">
        <f t="shared" si="98"/>
        <v>5</v>
      </c>
      <c r="I104" s="66">
        <f t="shared" si="98"/>
        <v>4</v>
      </c>
      <c r="J104" s="66">
        <f t="shared" si="98"/>
        <v>4</v>
      </c>
      <c r="K104" s="66">
        <f t="shared" si="98"/>
        <v>7</v>
      </c>
      <c r="L104" s="22">
        <f t="shared" si="96"/>
        <v>41</v>
      </c>
      <c r="M104" s="60" t="s">
        <v>33</v>
      </c>
      <c r="N104" s="66">
        <f t="shared" ref="N104:V104" si="99">SUM(N102:N103)</f>
        <v>5</v>
      </c>
      <c r="O104" s="66">
        <f t="shared" si="99"/>
        <v>4</v>
      </c>
      <c r="P104" s="66">
        <f t="shared" si="99"/>
        <v>9</v>
      </c>
      <c r="Q104" s="66">
        <f t="shared" si="99"/>
        <v>5</v>
      </c>
      <c r="R104" s="66">
        <f t="shared" si="99"/>
        <v>3</v>
      </c>
      <c r="S104" s="66">
        <f t="shared" si="99"/>
        <v>6</v>
      </c>
      <c r="T104" s="66">
        <f t="shared" si="99"/>
        <v>7</v>
      </c>
      <c r="U104" s="66">
        <f t="shared" si="99"/>
        <v>7</v>
      </c>
      <c r="V104" s="66">
        <f t="shared" si="99"/>
        <v>3</v>
      </c>
      <c r="W104" s="22">
        <f t="shared" si="97"/>
        <v>49</v>
      </c>
      <c r="X104" s="15">
        <f t="shared" si="95"/>
        <v>90</v>
      </c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</row>
    <row r="105" spans="1:34" ht="15.95" customHeight="1" thickBot="1">
      <c r="A105" s="53"/>
      <c r="B105" s="31" t="s">
        <v>34</v>
      </c>
      <c r="C105" s="32">
        <f t="shared" ref="C105:K105" si="100">IF(C104=0,0,IF(C104-C96=-3,3,IF(C104-C96=-2,1.5,IF(C104-C96=-1,0.8,IF(C104-C96=0,0.4,IF(C104-C96=1,0,IF(C104-C96&lt;=2&gt;15,0,_xludf.IF)))))))</f>
        <v>0.4</v>
      </c>
      <c r="D105" s="32">
        <f t="shared" si="100"/>
        <v>0</v>
      </c>
      <c r="E105" s="32">
        <f t="shared" si="100"/>
        <v>0</v>
      </c>
      <c r="F105" s="32">
        <f t="shared" si="100"/>
        <v>0.8</v>
      </c>
      <c r="G105" s="32">
        <f t="shared" si="100"/>
        <v>0.4</v>
      </c>
      <c r="H105" s="32">
        <f t="shared" si="100"/>
        <v>0</v>
      </c>
      <c r="I105" s="32">
        <f t="shared" si="100"/>
        <v>0.4</v>
      </c>
      <c r="J105" s="32">
        <f t="shared" si="100"/>
        <v>0</v>
      </c>
      <c r="K105" s="32">
        <f t="shared" si="100"/>
        <v>0</v>
      </c>
      <c r="L105" s="32">
        <f t="shared" si="96"/>
        <v>2</v>
      </c>
      <c r="M105" s="31" t="s">
        <v>34</v>
      </c>
      <c r="N105" s="32">
        <f t="shared" ref="N105:V105" si="101">IF(N104=0,0,IF(N104-N96=-3,3,IF(N104-N96=-2,1.5,IF(N104-N96=-1,0.8,IF(N104-N96=0,0.4,IF(N104-N96=1,0,IF(N104-N96&lt;=2&gt;15,0,_xludf.IF)))))))</f>
        <v>0</v>
      </c>
      <c r="O105" s="32">
        <f t="shared" si="101"/>
        <v>0</v>
      </c>
      <c r="P105" s="32">
        <f t="shared" si="101"/>
        <v>0</v>
      </c>
      <c r="Q105" s="32">
        <f t="shared" si="101"/>
        <v>0</v>
      </c>
      <c r="R105" s="32">
        <f t="shared" si="101"/>
        <v>0.8</v>
      </c>
      <c r="S105" s="32">
        <f t="shared" si="101"/>
        <v>0</v>
      </c>
      <c r="T105" s="32">
        <f t="shared" si="101"/>
        <v>0</v>
      </c>
      <c r="U105" s="32">
        <f t="shared" si="101"/>
        <v>0</v>
      </c>
      <c r="V105" s="32">
        <f t="shared" si="101"/>
        <v>0.4</v>
      </c>
      <c r="W105" s="32">
        <f t="shared" si="97"/>
        <v>1.2000000000000002</v>
      </c>
      <c r="X105" s="30">
        <f t="shared" si="95"/>
        <v>3.2</v>
      </c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</row>
    <row r="106" spans="1:34" ht="15.95" customHeight="1">
      <c r="A106" s="76" t="s">
        <v>19</v>
      </c>
      <c r="B106" s="62" t="s">
        <v>32</v>
      </c>
      <c r="C106" s="58">
        <v>5</v>
      </c>
      <c r="D106" s="58">
        <v>7</v>
      </c>
      <c r="E106" s="58">
        <v>4</v>
      </c>
      <c r="F106" s="58">
        <v>8</v>
      </c>
      <c r="G106" s="58">
        <v>6</v>
      </c>
      <c r="H106" s="58">
        <v>7</v>
      </c>
      <c r="I106" s="58">
        <v>7</v>
      </c>
      <c r="J106" s="58">
        <v>6</v>
      </c>
      <c r="K106" s="58">
        <v>7</v>
      </c>
      <c r="L106" s="26">
        <f>SUM(C106:K106)</f>
        <v>57</v>
      </c>
      <c r="M106" s="62" t="s">
        <v>32</v>
      </c>
      <c r="N106" s="58">
        <v>5</v>
      </c>
      <c r="O106" s="58">
        <v>5</v>
      </c>
      <c r="P106" s="58">
        <v>7</v>
      </c>
      <c r="Q106" s="58">
        <v>5</v>
      </c>
      <c r="R106" s="58">
        <v>6</v>
      </c>
      <c r="S106" s="58">
        <v>5</v>
      </c>
      <c r="T106" s="58">
        <v>6</v>
      </c>
      <c r="U106" s="58">
        <v>8</v>
      </c>
      <c r="V106" s="58">
        <v>4</v>
      </c>
      <c r="W106" s="26">
        <f>SUM(N106:V106)</f>
        <v>51</v>
      </c>
      <c r="X106" s="33">
        <f t="shared" si="95"/>
        <v>108</v>
      </c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</row>
    <row r="107" spans="1:34" s="29" customFormat="1" ht="15.95" customHeight="1">
      <c r="A107" s="77">
        <v>12</v>
      </c>
      <c r="B107" s="27" t="s">
        <v>31</v>
      </c>
      <c r="C107" s="28">
        <v>-1</v>
      </c>
      <c r="D107" s="28">
        <v>-1</v>
      </c>
      <c r="E107" s="28"/>
      <c r="F107" s="28">
        <v>-1</v>
      </c>
      <c r="G107" s="28"/>
      <c r="H107" s="28">
        <v>-1</v>
      </c>
      <c r="I107" s="28">
        <v>-1</v>
      </c>
      <c r="J107" s="28">
        <v>-1</v>
      </c>
      <c r="K107" s="28">
        <v>-1</v>
      </c>
      <c r="L107" s="24">
        <f t="shared" ref="L107:L109" si="102">SUM(C107:K107)</f>
        <v>-7</v>
      </c>
      <c r="M107" s="27" t="s">
        <v>31</v>
      </c>
      <c r="N107" s="28">
        <v>-1</v>
      </c>
      <c r="O107" s="28"/>
      <c r="P107" s="28">
        <v>-1</v>
      </c>
      <c r="Q107" s="28">
        <v>-1</v>
      </c>
      <c r="R107" s="28">
        <v>-1</v>
      </c>
      <c r="S107" s="28"/>
      <c r="T107" s="28">
        <v>-1</v>
      </c>
      <c r="U107" s="28"/>
      <c r="V107" s="28"/>
      <c r="W107" s="24">
        <f t="shared" ref="W107:W109" si="103">SUM(N107:V107)</f>
        <v>-5</v>
      </c>
      <c r="X107" s="25">
        <f t="shared" si="95"/>
        <v>-12</v>
      </c>
    </row>
    <row r="108" spans="1:34" ht="15.95" customHeight="1">
      <c r="A108" s="37"/>
      <c r="B108" s="60" t="s">
        <v>33</v>
      </c>
      <c r="C108" s="66">
        <f t="shared" ref="C108:K108" si="104">SUM(C106:C107)</f>
        <v>4</v>
      </c>
      <c r="D108" s="66">
        <f t="shared" si="104"/>
        <v>6</v>
      </c>
      <c r="E108" s="66">
        <f t="shared" si="104"/>
        <v>4</v>
      </c>
      <c r="F108" s="66">
        <f t="shared" si="104"/>
        <v>7</v>
      </c>
      <c r="G108" s="66">
        <f t="shared" si="104"/>
        <v>6</v>
      </c>
      <c r="H108" s="66">
        <f t="shared" si="104"/>
        <v>6</v>
      </c>
      <c r="I108" s="66">
        <f t="shared" si="104"/>
        <v>6</v>
      </c>
      <c r="J108" s="66">
        <f t="shared" si="104"/>
        <v>5</v>
      </c>
      <c r="K108" s="66">
        <f t="shared" si="104"/>
        <v>6</v>
      </c>
      <c r="L108" s="22">
        <f t="shared" si="102"/>
        <v>50</v>
      </c>
      <c r="M108" s="60" t="s">
        <v>33</v>
      </c>
      <c r="N108" s="66">
        <f t="shared" ref="N108:V108" si="105">SUM(N106:N107)</f>
        <v>4</v>
      </c>
      <c r="O108" s="66">
        <f t="shared" si="105"/>
        <v>5</v>
      </c>
      <c r="P108" s="66">
        <f t="shared" si="105"/>
        <v>6</v>
      </c>
      <c r="Q108" s="66">
        <f t="shared" si="105"/>
        <v>4</v>
      </c>
      <c r="R108" s="66">
        <f t="shared" si="105"/>
        <v>5</v>
      </c>
      <c r="S108" s="66">
        <f t="shared" si="105"/>
        <v>5</v>
      </c>
      <c r="T108" s="66">
        <f t="shared" si="105"/>
        <v>5</v>
      </c>
      <c r="U108" s="66">
        <f t="shared" si="105"/>
        <v>8</v>
      </c>
      <c r="V108" s="66">
        <f t="shared" si="105"/>
        <v>4</v>
      </c>
      <c r="W108" s="22">
        <f t="shared" si="103"/>
        <v>46</v>
      </c>
      <c r="X108" s="15">
        <f t="shared" si="95"/>
        <v>96</v>
      </c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</row>
    <row r="109" spans="1:34" ht="15.95" customHeight="1" thickBot="1">
      <c r="A109" s="53"/>
      <c r="B109" s="31" t="s">
        <v>34</v>
      </c>
      <c r="C109" s="32">
        <f t="shared" ref="C109:K109" si="106">IF(C108=0,0,IF(C108-C96=-3,3,IF(C108-C96=-2,1.5,IF(C108-C96=-1,0.8,IF(C108-C96=0,0.4,IF(C108-C96=1,0,IF(C108-C96&lt;=2&gt;15,0,_xludf.IF)))))))</f>
        <v>0.8</v>
      </c>
      <c r="D109" s="32">
        <f t="shared" si="106"/>
        <v>0</v>
      </c>
      <c r="E109" s="32">
        <f t="shared" si="106"/>
        <v>0</v>
      </c>
      <c r="F109" s="32">
        <f t="shared" si="106"/>
        <v>0</v>
      </c>
      <c r="G109" s="32">
        <f t="shared" si="106"/>
        <v>0</v>
      </c>
      <c r="H109" s="32">
        <f t="shared" si="106"/>
        <v>0</v>
      </c>
      <c r="I109" s="32">
        <f t="shared" si="106"/>
        <v>0</v>
      </c>
      <c r="J109" s="32">
        <f t="shared" si="106"/>
        <v>0</v>
      </c>
      <c r="K109" s="32">
        <f t="shared" si="106"/>
        <v>0</v>
      </c>
      <c r="L109" s="32">
        <f t="shared" si="102"/>
        <v>0.8</v>
      </c>
      <c r="M109" s="31" t="s">
        <v>34</v>
      </c>
      <c r="N109" s="32">
        <f t="shared" ref="N109:V109" si="107">IF(N108=0,0,IF(N108-N96=-3,3,IF(N108-N96=-2,1.5,IF(N108-N96=-1,0.8,IF(N108-N96=0,0.4,IF(N108-N96=1,0,IF(N108-N96&lt;=2&gt;15,0,_xludf.IF)))))))</f>
        <v>0.4</v>
      </c>
      <c r="O109" s="32">
        <f t="shared" si="107"/>
        <v>0</v>
      </c>
      <c r="P109" s="32">
        <f t="shared" si="107"/>
        <v>0</v>
      </c>
      <c r="Q109" s="32">
        <f t="shared" si="107"/>
        <v>0.4</v>
      </c>
      <c r="R109" s="32">
        <f t="shared" si="107"/>
        <v>0</v>
      </c>
      <c r="S109" s="32">
        <f t="shared" si="107"/>
        <v>0</v>
      </c>
      <c r="T109" s="32">
        <f t="shared" si="107"/>
        <v>0</v>
      </c>
      <c r="U109" s="32">
        <f t="shared" si="107"/>
        <v>0</v>
      </c>
      <c r="V109" s="32">
        <f t="shared" si="107"/>
        <v>0</v>
      </c>
      <c r="W109" s="32">
        <f t="shared" si="103"/>
        <v>0.8</v>
      </c>
      <c r="X109" s="30">
        <f t="shared" si="95"/>
        <v>1.6</v>
      </c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</row>
    <row r="110" spans="1:34" ht="15.95" customHeight="1">
      <c r="A110" s="76" t="s">
        <v>17</v>
      </c>
      <c r="B110" s="62" t="s">
        <v>32</v>
      </c>
      <c r="C110" s="58">
        <v>7</v>
      </c>
      <c r="D110" s="58">
        <v>6</v>
      </c>
      <c r="E110" s="58">
        <v>5</v>
      </c>
      <c r="F110" s="58">
        <v>8</v>
      </c>
      <c r="G110" s="58">
        <v>4</v>
      </c>
      <c r="H110" s="58">
        <v>5</v>
      </c>
      <c r="I110" s="58">
        <v>6</v>
      </c>
      <c r="J110" s="58">
        <v>6</v>
      </c>
      <c r="K110" s="58">
        <v>6</v>
      </c>
      <c r="L110" s="26">
        <f>SUM(C110:K110)</f>
        <v>53</v>
      </c>
      <c r="M110" s="62" t="s">
        <v>32</v>
      </c>
      <c r="N110" s="58">
        <v>5</v>
      </c>
      <c r="O110" s="58">
        <v>4</v>
      </c>
      <c r="P110" s="58">
        <v>8</v>
      </c>
      <c r="Q110" s="58">
        <v>7</v>
      </c>
      <c r="R110" s="58">
        <v>5</v>
      </c>
      <c r="S110" s="58">
        <v>5</v>
      </c>
      <c r="T110" s="58">
        <v>7</v>
      </c>
      <c r="U110" s="58">
        <v>7</v>
      </c>
      <c r="V110" s="58">
        <v>4</v>
      </c>
      <c r="W110" s="26">
        <f>SUM(N110:V110)</f>
        <v>52</v>
      </c>
      <c r="X110" s="33">
        <f t="shared" si="95"/>
        <v>105</v>
      </c>
      <c r="Y110" s="61"/>
      <c r="Z110" s="61"/>
      <c r="AA110" s="61"/>
      <c r="AB110" s="61"/>
      <c r="AC110" s="61"/>
      <c r="AD110" s="61"/>
      <c r="AE110" s="61"/>
      <c r="AF110" s="61"/>
      <c r="AG110" s="61"/>
      <c r="AH110" s="61"/>
    </row>
    <row r="111" spans="1:34" s="29" customFormat="1" ht="15.95" customHeight="1">
      <c r="A111" s="77">
        <v>14</v>
      </c>
      <c r="B111" s="27" t="s">
        <v>31</v>
      </c>
      <c r="C111" s="28">
        <v>-1</v>
      </c>
      <c r="D111" s="28">
        <v>-1</v>
      </c>
      <c r="E111" s="28"/>
      <c r="F111" s="69">
        <v>-1</v>
      </c>
      <c r="G111" s="69"/>
      <c r="H111" s="69">
        <v>-1</v>
      </c>
      <c r="I111" s="69">
        <v>-1</v>
      </c>
      <c r="J111" s="69">
        <v>-1</v>
      </c>
      <c r="K111" s="69">
        <v>-1</v>
      </c>
      <c r="L111" s="24">
        <f t="shared" ref="L111:L113" si="108">SUM(C111:K111)</f>
        <v>-7</v>
      </c>
      <c r="M111" s="27" t="s">
        <v>31</v>
      </c>
      <c r="N111" s="69">
        <v>-1</v>
      </c>
      <c r="O111" s="69">
        <v>-1</v>
      </c>
      <c r="P111" s="69">
        <v>-1</v>
      </c>
      <c r="Q111" s="69">
        <v>-1</v>
      </c>
      <c r="R111" s="69">
        <v>-1</v>
      </c>
      <c r="S111" s="69"/>
      <c r="T111" s="69">
        <v>-1</v>
      </c>
      <c r="U111" s="69">
        <v>-1</v>
      </c>
      <c r="V111" s="69"/>
      <c r="W111" s="24">
        <f t="shared" ref="W111:W113" si="109">SUM(N111:V111)</f>
        <v>-7</v>
      </c>
      <c r="X111" s="25">
        <f t="shared" si="95"/>
        <v>-14</v>
      </c>
    </row>
    <row r="112" spans="1:34" ht="15.95" customHeight="1">
      <c r="A112" s="37"/>
      <c r="B112" s="60" t="s">
        <v>33</v>
      </c>
      <c r="C112" s="66">
        <f t="shared" ref="C112:K112" si="110">SUM(C110:C111)</f>
        <v>6</v>
      </c>
      <c r="D112" s="66">
        <f t="shared" si="110"/>
        <v>5</v>
      </c>
      <c r="E112" s="66">
        <f t="shared" si="110"/>
        <v>5</v>
      </c>
      <c r="F112" s="66">
        <f t="shared" si="110"/>
        <v>7</v>
      </c>
      <c r="G112" s="66">
        <f t="shared" si="110"/>
        <v>4</v>
      </c>
      <c r="H112" s="66">
        <f t="shared" si="110"/>
        <v>4</v>
      </c>
      <c r="I112" s="66">
        <f t="shared" si="110"/>
        <v>5</v>
      </c>
      <c r="J112" s="66">
        <f t="shared" si="110"/>
        <v>5</v>
      </c>
      <c r="K112" s="66">
        <f t="shared" si="110"/>
        <v>5</v>
      </c>
      <c r="L112" s="22">
        <f t="shared" si="108"/>
        <v>46</v>
      </c>
      <c r="M112" s="60" t="s">
        <v>33</v>
      </c>
      <c r="N112" s="66">
        <f t="shared" ref="N112:V112" si="111">SUM(N110:N111)</f>
        <v>4</v>
      </c>
      <c r="O112" s="66">
        <f t="shared" si="111"/>
        <v>3</v>
      </c>
      <c r="P112" s="66">
        <f t="shared" si="111"/>
        <v>7</v>
      </c>
      <c r="Q112" s="66">
        <f t="shared" si="111"/>
        <v>6</v>
      </c>
      <c r="R112" s="66">
        <f t="shared" si="111"/>
        <v>4</v>
      </c>
      <c r="S112" s="66">
        <f t="shared" si="111"/>
        <v>5</v>
      </c>
      <c r="T112" s="66">
        <f t="shared" si="111"/>
        <v>6</v>
      </c>
      <c r="U112" s="66">
        <f t="shared" si="111"/>
        <v>6</v>
      </c>
      <c r="V112" s="66">
        <f t="shared" si="111"/>
        <v>4</v>
      </c>
      <c r="W112" s="22">
        <f t="shared" si="109"/>
        <v>45</v>
      </c>
      <c r="X112" s="15">
        <f t="shared" si="95"/>
        <v>91</v>
      </c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</row>
    <row r="113" spans="1:24" s="3" customFormat="1" ht="15.95" customHeight="1" thickBot="1">
      <c r="A113" s="53"/>
      <c r="B113" s="31" t="s">
        <v>34</v>
      </c>
      <c r="C113" s="32">
        <f t="shared" ref="C113" si="112">IF(C112=0,0,IF(C112-C96=-3,3,IF(C112-C96=-2,1.5,IF(C112-C96=-1,0.8,IF(C112-C96=0,0.4,IF(C112-C96=1,0,IF(C112-C96&lt;=2&gt;15,0,_xludf.IF)))))))</f>
        <v>0</v>
      </c>
      <c r="D113" s="32">
        <f>IF(D112=0,0,IF(D112-D96=-3,3,IF(D112-D96=-2,1.5,IF(D112-D96=-1,0.8,IF(D112-D96=0,0.4,IF(D112-D96=1,0,IF(D112-D96&lt;=2&gt;15,0,_xludf.IF)))))))</f>
        <v>0</v>
      </c>
      <c r="E113" s="32">
        <f t="shared" ref="E113:K113" si="113">IF(E112=0,0,IF(E112-E96=-3,3,IF(E112-E96=-2,1.5,IF(E112-E96=-1,0.8,IF(E112-E96=0,0.4,IF(E112-E96=1,0,IF(E112-E96&lt;=2&gt;15,0,_xludf.IF)))))))</f>
        <v>0</v>
      </c>
      <c r="F113" s="32">
        <f t="shared" si="113"/>
        <v>0</v>
      </c>
      <c r="G113" s="32">
        <f t="shared" si="113"/>
        <v>0</v>
      </c>
      <c r="H113" s="32">
        <f t="shared" si="113"/>
        <v>0.4</v>
      </c>
      <c r="I113" s="32">
        <f t="shared" si="113"/>
        <v>0</v>
      </c>
      <c r="J113" s="32">
        <f t="shared" si="113"/>
        <v>0</v>
      </c>
      <c r="K113" s="32">
        <f t="shared" si="113"/>
        <v>0.4</v>
      </c>
      <c r="L113" s="32">
        <f t="shared" si="108"/>
        <v>0.8</v>
      </c>
      <c r="M113" s="31" t="s">
        <v>34</v>
      </c>
      <c r="N113" s="32">
        <f t="shared" ref="N113:V113" si="114">IF(N112=0,0,IF(N112-N96=-3,3,IF(N112-N96=-2,1.5,IF(N112-N96=-1,0.8,IF(N112-N96=0,0.4,IF(N112-N96=1,0,IF(N112-N96&lt;=2&gt;15,0,_xludf.IF)))))))</f>
        <v>0.4</v>
      </c>
      <c r="O113" s="32">
        <f t="shared" si="114"/>
        <v>0.4</v>
      </c>
      <c r="P113" s="32">
        <f t="shared" si="114"/>
        <v>0</v>
      </c>
      <c r="Q113" s="32">
        <f t="shared" si="114"/>
        <v>0</v>
      </c>
      <c r="R113" s="32">
        <f t="shared" si="114"/>
        <v>0.4</v>
      </c>
      <c r="S113" s="32">
        <f t="shared" si="114"/>
        <v>0</v>
      </c>
      <c r="T113" s="32">
        <f t="shared" si="114"/>
        <v>0</v>
      </c>
      <c r="U113" s="32">
        <f t="shared" si="114"/>
        <v>0</v>
      </c>
      <c r="V113" s="32">
        <f t="shared" si="114"/>
        <v>0</v>
      </c>
      <c r="W113" s="32">
        <f t="shared" si="109"/>
        <v>1.2000000000000002</v>
      </c>
      <c r="X113" s="30">
        <f t="shared" si="95"/>
        <v>2</v>
      </c>
    </row>
    <row r="114" spans="1:24" s="3" customFormat="1" ht="15.95" customHeight="1">
      <c r="A114" s="78" t="s">
        <v>36</v>
      </c>
      <c r="B114" s="62" t="s">
        <v>32</v>
      </c>
      <c r="C114" s="58">
        <v>6</v>
      </c>
      <c r="D114" s="58">
        <v>6</v>
      </c>
      <c r="E114" s="58">
        <v>3</v>
      </c>
      <c r="F114" s="58">
        <v>8</v>
      </c>
      <c r="G114" s="58">
        <v>4</v>
      </c>
      <c r="H114" s="58">
        <v>5</v>
      </c>
      <c r="I114" s="58">
        <v>5</v>
      </c>
      <c r="J114" s="58">
        <v>5</v>
      </c>
      <c r="K114" s="58">
        <v>4</v>
      </c>
      <c r="L114" s="26">
        <f>SUM(C114:K114)</f>
        <v>46</v>
      </c>
      <c r="M114" s="62" t="s">
        <v>32</v>
      </c>
      <c r="N114" s="58">
        <v>7</v>
      </c>
      <c r="O114" s="58">
        <v>2</v>
      </c>
      <c r="P114" s="58">
        <v>6</v>
      </c>
      <c r="Q114" s="58">
        <v>5</v>
      </c>
      <c r="R114" s="58">
        <v>6</v>
      </c>
      <c r="S114" s="58">
        <v>4</v>
      </c>
      <c r="T114" s="58">
        <v>5</v>
      </c>
      <c r="U114" s="58">
        <v>6</v>
      </c>
      <c r="V114" s="58">
        <v>4</v>
      </c>
      <c r="W114" s="26">
        <f>SUM(N114:V114)</f>
        <v>45</v>
      </c>
      <c r="X114" s="33">
        <f t="shared" si="95"/>
        <v>91</v>
      </c>
    </row>
    <row r="115" spans="1:24" s="29" customFormat="1" ht="15.95" customHeight="1">
      <c r="A115" s="79">
        <v>4</v>
      </c>
      <c r="B115" s="27" t="s">
        <v>31</v>
      </c>
      <c r="C115" s="28"/>
      <c r="D115" s="28"/>
      <c r="E115" s="28"/>
      <c r="F115" s="28">
        <v>-1</v>
      </c>
      <c r="G115" s="28"/>
      <c r="H115" s="28"/>
      <c r="I115" s="28"/>
      <c r="J115" s="28"/>
      <c r="K115" s="28">
        <v>-1</v>
      </c>
      <c r="L115" s="24">
        <f t="shared" ref="L115:L117" si="115">SUM(C115:K115)</f>
        <v>-2</v>
      </c>
      <c r="M115" s="27" t="s">
        <v>31</v>
      </c>
      <c r="N115" s="69"/>
      <c r="O115" s="28"/>
      <c r="P115" s="28">
        <v>-1</v>
      </c>
      <c r="Q115" s="28"/>
      <c r="R115" s="69"/>
      <c r="S115" s="28"/>
      <c r="T115" s="28">
        <v>-1</v>
      </c>
      <c r="U115" s="28"/>
      <c r="V115" s="28"/>
      <c r="W115" s="24">
        <f t="shared" ref="W115:W117" si="116">SUM(N115:V115)</f>
        <v>-2</v>
      </c>
      <c r="X115" s="25">
        <f t="shared" si="95"/>
        <v>-4</v>
      </c>
    </row>
    <row r="116" spans="1:24" s="3" customFormat="1" ht="15.95" customHeight="1">
      <c r="A116" s="37"/>
      <c r="B116" s="60" t="s">
        <v>33</v>
      </c>
      <c r="C116" s="66">
        <f t="shared" ref="C116:K116" si="117">SUM(C114:C115)</f>
        <v>6</v>
      </c>
      <c r="D116" s="66">
        <f t="shared" si="117"/>
        <v>6</v>
      </c>
      <c r="E116" s="66">
        <f t="shared" si="117"/>
        <v>3</v>
      </c>
      <c r="F116" s="66">
        <f t="shared" si="117"/>
        <v>7</v>
      </c>
      <c r="G116" s="66">
        <f t="shared" si="117"/>
        <v>4</v>
      </c>
      <c r="H116" s="66">
        <f t="shared" si="117"/>
        <v>5</v>
      </c>
      <c r="I116" s="66">
        <f t="shared" si="117"/>
        <v>5</v>
      </c>
      <c r="J116" s="66">
        <f t="shared" si="117"/>
        <v>5</v>
      </c>
      <c r="K116" s="66">
        <f t="shared" si="117"/>
        <v>3</v>
      </c>
      <c r="L116" s="22">
        <f t="shared" si="115"/>
        <v>44</v>
      </c>
      <c r="M116" s="60" t="s">
        <v>33</v>
      </c>
      <c r="N116" s="66">
        <f t="shared" ref="N116:V116" si="118">SUM(N114:N115)</f>
        <v>7</v>
      </c>
      <c r="O116" s="66">
        <f t="shared" si="118"/>
        <v>2</v>
      </c>
      <c r="P116" s="66">
        <f t="shared" si="118"/>
        <v>5</v>
      </c>
      <c r="Q116" s="66">
        <f t="shared" si="118"/>
        <v>5</v>
      </c>
      <c r="R116" s="66">
        <f t="shared" si="118"/>
        <v>6</v>
      </c>
      <c r="S116" s="66">
        <f t="shared" si="118"/>
        <v>4</v>
      </c>
      <c r="T116" s="66">
        <f t="shared" si="118"/>
        <v>4</v>
      </c>
      <c r="U116" s="66">
        <f t="shared" si="118"/>
        <v>6</v>
      </c>
      <c r="V116" s="66">
        <f t="shared" si="118"/>
        <v>4</v>
      </c>
      <c r="W116" s="22">
        <f t="shared" si="116"/>
        <v>43</v>
      </c>
      <c r="X116" s="15">
        <f t="shared" si="95"/>
        <v>87</v>
      </c>
    </row>
    <row r="117" spans="1:24" s="3" customFormat="1" ht="15.95" customHeight="1" thickBot="1">
      <c r="A117" s="53"/>
      <c r="B117" s="31" t="s">
        <v>34</v>
      </c>
      <c r="C117" s="32">
        <f t="shared" ref="C117:K117" si="119">IF(C116=0,0,IF(C116-C96=-3,3,IF(C116-C96=-2,1.5,IF(C116-C96=-1,0.8,IF(C116-C96=0,0.4,IF(C116-C96=1,0,IF(C116-C96&lt;=2&gt;15,0,_xludf.IF)))))))</f>
        <v>0</v>
      </c>
      <c r="D117" s="32">
        <f t="shared" si="119"/>
        <v>0</v>
      </c>
      <c r="E117" s="32">
        <f t="shared" si="119"/>
        <v>0.4</v>
      </c>
      <c r="F117" s="32">
        <f t="shared" si="119"/>
        <v>0</v>
      </c>
      <c r="G117" s="32">
        <f t="shared" si="119"/>
        <v>0</v>
      </c>
      <c r="H117" s="32">
        <f t="shared" si="119"/>
        <v>0</v>
      </c>
      <c r="I117" s="32">
        <f t="shared" si="119"/>
        <v>0</v>
      </c>
      <c r="J117" s="32">
        <f t="shared" si="119"/>
        <v>0</v>
      </c>
      <c r="K117" s="32">
        <f t="shared" si="119"/>
        <v>1.5</v>
      </c>
      <c r="L117" s="32">
        <f t="shared" si="115"/>
        <v>1.9</v>
      </c>
      <c r="M117" s="31" t="s">
        <v>34</v>
      </c>
      <c r="N117" s="32">
        <f t="shared" ref="N117:V117" si="120">IF(N116=0,0,IF(N116-N96=-3,3,IF(N116-N96=-2,1.5,IF(N116-N96=-1,0.8,IF(N116-N96=0,0.4,IF(N116-N96=1,0,IF(N116-N96&lt;=2&gt;15,0,_xludf.IF)))))))</f>
        <v>0</v>
      </c>
      <c r="O117" s="32">
        <f t="shared" si="120"/>
        <v>0.8</v>
      </c>
      <c r="P117" s="32">
        <f t="shared" si="120"/>
        <v>0.4</v>
      </c>
      <c r="Q117" s="32">
        <f t="shared" si="120"/>
        <v>0</v>
      </c>
      <c r="R117" s="32">
        <f t="shared" si="120"/>
        <v>0</v>
      </c>
      <c r="S117" s="32">
        <f t="shared" si="120"/>
        <v>0</v>
      </c>
      <c r="T117" s="32">
        <f t="shared" si="120"/>
        <v>0.4</v>
      </c>
      <c r="U117" s="32">
        <f t="shared" si="120"/>
        <v>0</v>
      </c>
      <c r="V117" s="32">
        <f t="shared" si="120"/>
        <v>0</v>
      </c>
      <c r="W117" s="32">
        <f t="shared" si="116"/>
        <v>1.6</v>
      </c>
      <c r="X117" s="30">
        <f t="shared" si="95"/>
        <v>3.5</v>
      </c>
    </row>
    <row r="118" spans="1:24" s="3" customFormat="1" ht="15.95" customHeight="1">
      <c r="A118" s="78" t="s">
        <v>37</v>
      </c>
      <c r="B118" s="62" t="s">
        <v>32</v>
      </c>
      <c r="C118" s="58">
        <v>6</v>
      </c>
      <c r="D118" s="58">
        <v>8</v>
      </c>
      <c r="E118" s="58">
        <v>4</v>
      </c>
      <c r="F118" s="58">
        <v>7</v>
      </c>
      <c r="G118" s="58">
        <v>3</v>
      </c>
      <c r="H118" s="58">
        <v>5</v>
      </c>
      <c r="I118" s="58">
        <v>5</v>
      </c>
      <c r="J118" s="58">
        <v>3</v>
      </c>
      <c r="K118" s="58">
        <v>5</v>
      </c>
      <c r="L118" s="26">
        <f>SUM(C118:K118)</f>
        <v>46</v>
      </c>
      <c r="M118" s="62" t="s">
        <v>32</v>
      </c>
      <c r="N118" s="58">
        <v>6</v>
      </c>
      <c r="O118" s="58">
        <v>3</v>
      </c>
      <c r="P118" s="58">
        <v>8</v>
      </c>
      <c r="Q118" s="58">
        <v>8</v>
      </c>
      <c r="R118" s="58">
        <v>6</v>
      </c>
      <c r="S118" s="58">
        <v>2</v>
      </c>
      <c r="T118" s="58">
        <v>6</v>
      </c>
      <c r="U118" s="58">
        <v>5</v>
      </c>
      <c r="V118" s="58">
        <v>3</v>
      </c>
      <c r="W118" s="26">
        <f>SUM(N118:V118)</f>
        <v>47</v>
      </c>
      <c r="X118" s="33">
        <f t="shared" si="95"/>
        <v>93</v>
      </c>
    </row>
    <row r="119" spans="1:24" s="29" customFormat="1" ht="15.95" customHeight="1">
      <c r="A119" s="79">
        <v>6</v>
      </c>
      <c r="B119" s="27" t="s">
        <v>31</v>
      </c>
      <c r="C119" s="69"/>
      <c r="D119" s="69"/>
      <c r="E119" s="69"/>
      <c r="F119" s="69">
        <v>-1</v>
      </c>
      <c r="G119" s="69"/>
      <c r="H119" s="69"/>
      <c r="I119" s="69"/>
      <c r="J119" s="69"/>
      <c r="K119" s="69">
        <v>-1</v>
      </c>
      <c r="L119" s="24">
        <f t="shared" ref="L119:L121" si="121">SUM(C119:K119)</f>
        <v>-2</v>
      </c>
      <c r="M119" s="27" t="s">
        <v>31</v>
      </c>
      <c r="N119" s="28">
        <v>-1</v>
      </c>
      <c r="O119" s="28"/>
      <c r="P119" s="28">
        <v>-1</v>
      </c>
      <c r="Q119" s="28"/>
      <c r="R119" s="28">
        <v>-1</v>
      </c>
      <c r="S119" s="28"/>
      <c r="T119" s="28">
        <v>-1</v>
      </c>
      <c r="U119" s="28"/>
      <c r="V119" s="28"/>
      <c r="W119" s="24">
        <f t="shared" ref="W119:W121" si="122">SUM(N119:V119)</f>
        <v>-4</v>
      </c>
      <c r="X119" s="25">
        <f t="shared" si="95"/>
        <v>-6</v>
      </c>
    </row>
    <row r="120" spans="1:24" s="3" customFormat="1" ht="15.95" customHeight="1">
      <c r="A120" s="37"/>
      <c r="B120" s="60" t="s">
        <v>33</v>
      </c>
      <c r="C120" s="66">
        <f t="shared" ref="C120:K120" si="123">SUM(C118:C119)</f>
        <v>6</v>
      </c>
      <c r="D120" s="66">
        <f t="shared" si="123"/>
        <v>8</v>
      </c>
      <c r="E120" s="66">
        <f t="shared" si="123"/>
        <v>4</v>
      </c>
      <c r="F120" s="66">
        <f t="shared" si="123"/>
        <v>6</v>
      </c>
      <c r="G120" s="66">
        <f t="shared" si="123"/>
        <v>3</v>
      </c>
      <c r="H120" s="66">
        <f t="shared" si="123"/>
        <v>5</v>
      </c>
      <c r="I120" s="66">
        <f t="shared" si="123"/>
        <v>5</v>
      </c>
      <c r="J120" s="66">
        <f t="shared" si="123"/>
        <v>3</v>
      </c>
      <c r="K120" s="66">
        <f t="shared" si="123"/>
        <v>4</v>
      </c>
      <c r="L120" s="22">
        <f t="shared" si="121"/>
        <v>44</v>
      </c>
      <c r="M120" s="60" t="s">
        <v>33</v>
      </c>
      <c r="N120" s="66">
        <f t="shared" ref="N120:V120" si="124">SUM(N118:N119)</f>
        <v>5</v>
      </c>
      <c r="O120" s="66">
        <f t="shared" si="124"/>
        <v>3</v>
      </c>
      <c r="P120" s="66">
        <f t="shared" si="124"/>
        <v>7</v>
      </c>
      <c r="Q120" s="66">
        <f t="shared" si="124"/>
        <v>8</v>
      </c>
      <c r="R120" s="66">
        <f t="shared" si="124"/>
        <v>5</v>
      </c>
      <c r="S120" s="66">
        <f t="shared" si="124"/>
        <v>2</v>
      </c>
      <c r="T120" s="66">
        <f t="shared" si="124"/>
        <v>5</v>
      </c>
      <c r="U120" s="66">
        <f t="shared" si="124"/>
        <v>5</v>
      </c>
      <c r="V120" s="66">
        <f t="shared" si="124"/>
        <v>3</v>
      </c>
      <c r="W120" s="22">
        <f t="shared" si="122"/>
        <v>43</v>
      </c>
      <c r="X120" s="15">
        <f t="shared" si="95"/>
        <v>87</v>
      </c>
    </row>
    <row r="121" spans="1:24" s="3" customFormat="1" ht="15.95" customHeight="1" thickBot="1">
      <c r="A121" s="53"/>
      <c r="B121" s="31" t="s">
        <v>34</v>
      </c>
      <c r="C121" s="32">
        <f t="shared" ref="C121:K121" si="125">IF(C120=0,0,IF(C120-C96=-3,3,IF(C120-C96=-2,1.5,IF(C120-C96=-1,0.8,IF(C120-C96=0,0.4,IF(C120-C96=1,0,IF(C120-C96&lt;=2&gt;15,0,_xludf.IF)))))))</f>
        <v>0</v>
      </c>
      <c r="D121" s="32">
        <f t="shared" si="125"/>
        <v>0</v>
      </c>
      <c r="E121" s="32">
        <f t="shared" si="125"/>
        <v>0</v>
      </c>
      <c r="F121" s="32">
        <f t="shared" si="125"/>
        <v>0</v>
      </c>
      <c r="G121" s="32">
        <f t="shared" si="125"/>
        <v>0.4</v>
      </c>
      <c r="H121" s="32">
        <f t="shared" si="125"/>
        <v>0</v>
      </c>
      <c r="I121" s="32">
        <f t="shared" si="125"/>
        <v>0</v>
      </c>
      <c r="J121" s="32">
        <f t="shared" si="125"/>
        <v>0.4</v>
      </c>
      <c r="K121" s="32">
        <f t="shared" si="125"/>
        <v>0.8</v>
      </c>
      <c r="L121" s="32">
        <f t="shared" si="121"/>
        <v>1.6</v>
      </c>
      <c r="M121" s="31" t="s">
        <v>34</v>
      </c>
      <c r="N121" s="32">
        <f t="shared" ref="N121:V121" si="126">IF(N120=0,0,IF(N120-N96=-3,3,IF(N120-N96=-2,1.5,IF(N120-N96=-1,0.8,IF(N120-N96=0,0.4,IF(N120-N96=1,0,IF(N120-N96&lt;=2&gt;15,0,_xludf.IF)))))))</f>
        <v>0</v>
      </c>
      <c r="O121" s="32">
        <f t="shared" si="126"/>
        <v>0.4</v>
      </c>
      <c r="P121" s="32">
        <f t="shared" si="126"/>
        <v>0</v>
      </c>
      <c r="Q121" s="32">
        <f t="shared" si="126"/>
        <v>0</v>
      </c>
      <c r="R121" s="32">
        <f t="shared" si="126"/>
        <v>0</v>
      </c>
      <c r="S121" s="32">
        <f t="shared" si="126"/>
        <v>0.8</v>
      </c>
      <c r="T121" s="32">
        <f t="shared" si="126"/>
        <v>0</v>
      </c>
      <c r="U121" s="32">
        <f t="shared" si="126"/>
        <v>0.4</v>
      </c>
      <c r="V121" s="32">
        <f t="shared" si="126"/>
        <v>0.4</v>
      </c>
      <c r="W121" s="32">
        <f t="shared" si="122"/>
        <v>2</v>
      </c>
      <c r="X121" s="30">
        <f t="shared" si="95"/>
        <v>3.6</v>
      </c>
    </row>
    <row r="122" spans="1:24" s="3" customFormat="1" ht="15.95" customHeight="1">
      <c r="A122" s="78" t="s">
        <v>8</v>
      </c>
      <c r="B122" s="62" t="s">
        <v>32</v>
      </c>
      <c r="C122" s="58">
        <v>5</v>
      </c>
      <c r="D122" s="58">
        <v>7</v>
      </c>
      <c r="E122" s="58">
        <v>5</v>
      </c>
      <c r="F122" s="58">
        <v>8</v>
      </c>
      <c r="G122" s="58">
        <v>4</v>
      </c>
      <c r="H122" s="58">
        <v>5</v>
      </c>
      <c r="I122" s="58">
        <v>6</v>
      </c>
      <c r="J122" s="58">
        <v>5</v>
      </c>
      <c r="K122" s="58">
        <v>6</v>
      </c>
      <c r="L122" s="26">
        <f>SUM(C122:K122)</f>
        <v>51</v>
      </c>
      <c r="M122" s="62" t="s">
        <v>32</v>
      </c>
      <c r="N122" s="58">
        <v>5</v>
      </c>
      <c r="O122" s="58">
        <v>4</v>
      </c>
      <c r="P122" s="58">
        <v>7</v>
      </c>
      <c r="Q122" s="58">
        <v>7</v>
      </c>
      <c r="R122" s="58">
        <v>7</v>
      </c>
      <c r="S122" s="58">
        <v>3</v>
      </c>
      <c r="T122" s="58">
        <v>4</v>
      </c>
      <c r="U122" s="58">
        <v>5</v>
      </c>
      <c r="V122" s="58">
        <v>4</v>
      </c>
      <c r="W122" s="26">
        <f>SUM(N122:V122)</f>
        <v>46</v>
      </c>
      <c r="X122" s="33">
        <f t="shared" si="95"/>
        <v>97</v>
      </c>
    </row>
    <row r="123" spans="1:24" s="29" customFormat="1" ht="15.95" customHeight="1">
      <c r="A123" s="79">
        <v>8</v>
      </c>
      <c r="B123" s="27" t="s">
        <v>31</v>
      </c>
      <c r="C123" s="28">
        <v>-1</v>
      </c>
      <c r="D123" s="28">
        <v>-1</v>
      </c>
      <c r="E123" s="28"/>
      <c r="F123" s="28">
        <v>-1</v>
      </c>
      <c r="G123" s="28"/>
      <c r="H123" s="28"/>
      <c r="I123" s="28"/>
      <c r="J123" s="28"/>
      <c r="K123" s="28">
        <v>-1</v>
      </c>
      <c r="L123" s="24">
        <f t="shared" ref="L123:L125" si="127">SUM(C123:K123)</f>
        <v>-4</v>
      </c>
      <c r="M123" s="27" t="s">
        <v>31</v>
      </c>
      <c r="N123" s="28">
        <v>-1</v>
      </c>
      <c r="O123" s="69"/>
      <c r="P123" s="28">
        <v>-1</v>
      </c>
      <c r="Q123" s="28"/>
      <c r="R123" s="28">
        <v>-1</v>
      </c>
      <c r="S123" s="69"/>
      <c r="T123" s="28">
        <v>-1</v>
      </c>
      <c r="U123" s="69"/>
      <c r="V123" s="69"/>
      <c r="W123" s="24">
        <f t="shared" ref="W123:W125" si="128">SUM(N123:V123)</f>
        <v>-4</v>
      </c>
      <c r="X123" s="25">
        <f t="shared" si="95"/>
        <v>-8</v>
      </c>
    </row>
    <row r="124" spans="1:24" s="3" customFormat="1" ht="15.95" customHeight="1">
      <c r="A124" s="37"/>
      <c r="B124" s="60" t="s">
        <v>33</v>
      </c>
      <c r="C124" s="66">
        <f t="shared" ref="C124:K124" si="129">SUM(C122:C123)</f>
        <v>4</v>
      </c>
      <c r="D124" s="66">
        <f t="shared" si="129"/>
        <v>6</v>
      </c>
      <c r="E124" s="66">
        <f t="shared" si="129"/>
        <v>5</v>
      </c>
      <c r="F124" s="66">
        <f t="shared" si="129"/>
        <v>7</v>
      </c>
      <c r="G124" s="66">
        <f t="shared" si="129"/>
        <v>4</v>
      </c>
      <c r="H124" s="66">
        <f t="shared" si="129"/>
        <v>5</v>
      </c>
      <c r="I124" s="66">
        <f t="shared" si="129"/>
        <v>6</v>
      </c>
      <c r="J124" s="66">
        <f t="shared" si="129"/>
        <v>5</v>
      </c>
      <c r="K124" s="66">
        <f t="shared" si="129"/>
        <v>5</v>
      </c>
      <c r="L124" s="22">
        <f t="shared" si="127"/>
        <v>47</v>
      </c>
      <c r="M124" s="60" t="s">
        <v>33</v>
      </c>
      <c r="N124" s="66">
        <f t="shared" ref="N124:V124" si="130">SUM(N122:N123)</f>
        <v>4</v>
      </c>
      <c r="O124" s="66">
        <f t="shared" si="130"/>
        <v>4</v>
      </c>
      <c r="P124" s="66">
        <f t="shared" si="130"/>
        <v>6</v>
      </c>
      <c r="Q124" s="66">
        <f t="shared" si="130"/>
        <v>7</v>
      </c>
      <c r="R124" s="66">
        <f t="shared" si="130"/>
        <v>6</v>
      </c>
      <c r="S124" s="66">
        <f t="shared" si="130"/>
        <v>3</v>
      </c>
      <c r="T124" s="66">
        <f t="shared" si="130"/>
        <v>3</v>
      </c>
      <c r="U124" s="66">
        <f t="shared" si="130"/>
        <v>5</v>
      </c>
      <c r="V124" s="66">
        <f t="shared" si="130"/>
        <v>4</v>
      </c>
      <c r="W124" s="22">
        <f t="shared" si="128"/>
        <v>42</v>
      </c>
      <c r="X124" s="15">
        <f t="shared" si="95"/>
        <v>89</v>
      </c>
    </row>
    <row r="125" spans="1:24" s="3" customFormat="1" ht="15.95" customHeight="1" thickBot="1">
      <c r="A125" s="53"/>
      <c r="B125" s="31" t="s">
        <v>34</v>
      </c>
      <c r="C125" s="32">
        <f t="shared" ref="C125:K125" si="131">IF(C124=0,0,IF(C124-C96=-3,3,IF(C124-C96=-2,1.5,IF(C124-C96=-1,0.8,IF(C124-C96=0,0.4,IF(C124-C96=1,0,IF(C124-C96&lt;=2&gt;15,0,_xludf.IF)))))))</f>
        <v>0.8</v>
      </c>
      <c r="D125" s="32">
        <f t="shared" si="131"/>
        <v>0</v>
      </c>
      <c r="E125" s="32">
        <f t="shared" si="131"/>
        <v>0</v>
      </c>
      <c r="F125" s="32">
        <f t="shared" si="131"/>
        <v>0</v>
      </c>
      <c r="G125" s="32">
        <f t="shared" si="131"/>
        <v>0</v>
      </c>
      <c r="H125" s="32">
        <f t="shared" si="131"/>
        <v>0</v>
      </c>
      <c r="I125" s="32">
        <f t="shared" si="131"/>
        <v>0</v>
      </c>
      <c r="J125" s="32">
        <f t="shared" si="131"/>
        <v>0</v>
      </c>
      <c r="K125" s="32">
        <f t="shared" si="131"/>
        <v>0.4</v>
      </c>
      <c r="L125" s="32">
        <f t="shared" si="127"/>
        <v>1.2000000000000002</v>
      </c>
      <c r="M125" s="31" t="s">
        <v>34</v>
      </c>
      <c r="N125" s="32">
        <f t="shared" ref="N125:V125" si="132">IF(N124=0,0,IF(N124-N96=-3,3,IF(N124-N96=-2,1.5,IF(N124-N96=-1,0.8,IF(N124-N96=0,0.4,IF(N124-N96=1,0,IF(N124-N96&lt;=2&gt;15,0,_xludf.IF)))))))</f>
        <v>0.4</v>
      </c>
      <c r="O125" s="32">
        <f t="shared" si="132"/>
        <v>0</v>
      </c>
      <c r="P125" s="32">
        <f t="shared" si="132"/>
        <v>0</v>
      </c>
      <c r="Q125" s="32">
        <f t="shared" si="132"/>
        <v>0</v>
      </c>
      <c r="R125" s="32">
        <f t="shared" si="132"/>
        <v>0</v>
      </c>
      <c r="S125" s="32">
        <f t="shared" si="132"/>
        <v>0.4</v>
      </c>
      <c r="T125" s="32">
        <f t="shared" si="132"/>
        <v>0.8</v>
      </c>
      <c r="U125" s="32">
        <f t="shared" si="132"/>
        <v>0.4</v>
      </c>
      <c r="V125" s="32">
        <f t="shared" si="132"/>
        <v>0</v>
      </c>
      <c r="W125" s="32">
        <f t="shared" si="128"/>
        <v>2</v>
      </c>
      <c r="X125" s="30">
        <f t="shared" si="95"/>
        <v>3.2</v>
      </c>
    </row>
    <row r="126" spans="1:24" s="3" customFormat="1" ht="15.95" customHeight="1">
      <c r="A126" s="78" t="s">
        <v>18</v>
      </c>
      <c r="B126" s="62" t="s">
        <v>32</v>
      </c>
      <c r="C126" s="58">
        <v>10</v>
      </c>
      <c r="D126" s="58">
        <v>6</v>
      </c>
      <c r="E126" s="58">
        <v>7</v>
      </c>
      <c r="F126" s="58">
        <v>7</v>
      </c>
      <c r="G126" s="58">
        <v>4</v>
      </c>
      <c r="H126" s="58">
        <v>8</v>
      </c>
      <c r="I126" s="58">
        <v>6</v>
      </c>
      <c r="J126" s="58">
        <v>3</v>
      </c>
      <c r="K126" s="58">
        <v>8</v>
      </c>
      <c r="L126" s="26">
        <f>SUM(C126:K126)</f>
        <v>59</v>
      </c>
      <c r="M126" s="62" t="s">
        <v>32</v>
      </c>
      <c r="N126" s="58">
        <v>9</v>
      </c>
      <c r="O126" s="58">
        <v>5</v>
      </c>
      <c r="P126" s="58">
        <v>8</v>
      </c>
      <c r="Q126" s="58">
        <v>7</v>
      </c>
      <c r="R126" s="58">
        <v>9</v>
      </c>
      <c r="S126" s="58">
        <v>5</v>
      </c>
      <c r="T126" s="58">
        <v>8</v>
      </c>
      <c r="U126" s="58">
        <v>9</v>
      </c>
      <c r="V126" s="58">
        <v>5</v>
      </c>
      <c r="W126" s="26">
        <f>SUM(N126:V126)</f>
        <v>65</v>
      </c>
      <c r="X126" s="33">
        <f t="shared" si="95"/>
        <v>124</v>
      </c>
    </row>
    <row r="127" spans="1:24" s="29" customFormat="1" ht="15.95" customHeight="1">
      <c r="A127" s="79">
        <v>17</v>
      </c>
      <c r="B127" s="27" t="s">
        <v>31</v>
      </c>
      <c r="C127" s="28">
        <v>-1</v>
      </c>
      <c r="D127" s="28">
        <v>-1</v>
      </c>
      <c r="E127" s="28"/>
      <c r="F127" s="28">
        <v>-1</v>
      </c>
      <c r="G127" s="28">
        <v>-1</v>
      </c>
      <c r="H127" s="28">
        <v>-1</v>
      </c>
      <c r="I127" s="28">
        <v>-1</v>
      </c>
      <c r="J127" s="28">
        <v>-1</v>
      </c>
      <c r="K127" s="28">
        <v>-1</v>
      </c>
      <c r="L127" s="24">
        <f t="shared" ref="L127:L129" si="133">SUM(C127:K127)</f>
        <v>-8</v>
      </c>
      <c r="M127" s="27" t="s">
        <v>31</v>
      </c>
      <c r="N127" s="28">
        <v>-1</v>
      </c>
      <c r="O127" s="69">
        <v>-1</v>
      </c>
      <c r="P127" s="28">
        <v>-1</v>
      </c>
      <c r="Q127" s="69">
        <v>-1</v>
      </c>
      <c r="R127" s="28">
        <v>-1</v>
      </c>
      <c r="S127" s="69">
        <v>-1</v>
      </c>
      <c r="T127" s="28">
        <v>-1</v>
      </c>
      <c r="U127" s="69">
        <v>-1</v>
      </c>
      <c r="V127" s="28">
        <v>-1</v>
      </c>
      <c r="W127" s="24">
        <f t="shared" ref="W127:W129" si="134">SUM(N127:V127)</f>
        <v>-9</v>
      </c>
      <c r="X127" s="25">
        <f t="shared" si="95"/>
        <v>-17</v>
      </c>
    </row>
    <row r="128" spans="1:24" s="3" customFormat="1" ht="15.95" customHeight="1">
      <c r="A128" s="37"/>
      <c r="B128" s="60" t="s">
        <v>33</v>
      </c>
      <c r="C128" s="66">
        <f t="shared" ref="C128:K128" si="135">SUM(C126:C127)</f>
        <v>9</v>
      </c>
      <c r="D128" s="66">
        <f t="shared" si="135"/>
        <v>5</v>
      </c>
      <c r="E128" s="66">
        <f t="shared" si="135"/>
        <v>7</v>
      </c>
      <c r="F128" s="66">
        <f t="shared" si="135"/>
        <v>6</v>
      </c>
      <c r="G128" s="66">
        <f t="shared" si="135"/>
        <v>3</v>
      </c>
      <c r="H128" s="66">
        <f t="shared" si="135"/>
        <v>7</v>
      </c>
      <c r="I128" s="66">
        <f t="shared" si="135"/>
        <v>5</v>
      </c>
      <c r="J128" s="66">
        <f t="shared" si="135"/>
        <v>2</v>
      </c>
      <c r="K128" s="66">
        <f t="shared" si="135"/>
        <v>7</v>
      </c>
      <c r="L128" s="22">
        <f t="shared" si="133"/>
        <v>51</v>
      </c>
      <c r="M128" s="60" t="s">
        <v>33</v>
      </c>
      <c r="N128" s="66">
        <f t="shared" ref="N128:V128" si="136">SUM(N126:N127)</f>
        <v>8</v>
      </c>
      <c r="O128" s="66">
        <f t="shared" si="136"/>
        <v>4</v>
      </c>
      <c r="P128" s="66">
        <f t="shared" si="136"/>
        <v>7</v>
      </c>
      <c r="Q128" s="66">
        <f t="shared" si="136"/>
        <v>6</v>
      </c>
      <c r="R128" s="66">
        <f t="shared" si="136"/>
        <v>8</v>
      </c>
      <c r="S128" s="66">
        <f t="shared" si="136"/>
        <v>4</v>
      </c>
      <c r="T128" s="66">
        <f t="shared" si="136"/>
        <v>7</v>
      </c>
      <c r="U128" s="66">
        <f t="shared" si="136"/>
        <v>8</v>
      </c>
      <c r="V128" s="66">
        <f t="shared" si="136"/>
        <v>4</v>
      </c>
      <c r="W128" s="22">
        <f t="shared" si="134"/>
        <v>56</v>
      </c>
      <c r="X128" s="15">
        <f t="shared" si="95"/>
        <v>107</v>
      </c>
    </row>
    <row r="129" spans="1:31" s="3" customFormat="1" ht="15.95" customHeight="1" thickBot="1">
      <c r="A129" s="53"/>
      <c r="B129" s="31" t="s">
        <v>34</v>
      </c>
      <c r="C129" s="32">
        <f t="shared" ref="C129:K129" si="137">IF(C128=0,0,IF(C128-C96=-3,3,IF(C128-C96=-2,1.5,IF(C128-C96=-1,0.8,IF(C128-C96=0,0.4,IF(C128-C96=1,0,IF(C128-C96&lt;=2&gt;15,0,_xludf.IF)))))))</f>
        <v>0</v>
      </c>
      <c r="D129" s="32">
        <f t="shared" si="137"/>
        <v>0</v>
      </c>
      <c r="E129" s="32">
        <f>IF(E128=0,0,IF(E128-E96=-3,3,IF(E128-E96=-2,1.5,IF(E128-E96=-1,0.8,IF(E128-E96=0,0.4,IF(E128-E96=1,0,IF(E128-E96&lt;=2&gt;15,0,_xludf.IF)))))))</f>
        <v>0</v>
      </c>
      <c r="F129" s="32">
        <f t="shared" si="137"/>
        <v>0</v>
      </c>
      <c r="G129" s="32">
        <f t="shared" si="137"/>
        <v>0.4</v>
      </c>
      <c r="H129" s="32">
        <f t="shared" si="137"/>
        <v>0</v>
      </c>
      <c r="I129" s="32">
        <f t="shared" si="137"/>
        <v>0</v>
      </c>
      <c r="J129" s="32">
        <f t="shared" si="137"/>
        <v>0.8</v>
      </c>
      <c r="K129" s="32">
        <f t="shared" si="137"/>
        <v>0</v>
      </c>
      <c r="L129" s="32">
        <f t="shared" si="133"/>
        <v>1.2000000000000002</v>
      </c>
      <c r="M129" s="31" t="s">
        <v>34</v>
      </c>
      <c r="N129" s="32">
        <f t="shared" ref="N129:V129" si="138">IF(N128=0,0,IF(N128-N96=-3,3,IF(N128-N96=-2,1.5,IF(N128-N96=-1,0.8,IF(N128-N96=0,0.4,IF(N128-N96=1,0,IF(N128-N96&lt;=2&gt;15,0,_xludf.IF)))))))</f>
        <v>0</v>
      </c>
      <c r="O129" s="32">
        <f t="shared" si="138"/>
        <v>0</v>
      </c>
      <c r="P129" s="32">
        <f t="shared" si="138"/>
        <v>0</v>
      </c>
      <c r="Q129" s="32">
        <f t="shared" si="138"/>
        <v>0</v>
      </c>
      <c r="R129" s="32">
        <f t="shared" si="138"/>
        <v>0</v>
      </c>
      <c r="S129" s="32">
        <f t="shared" si="138"/>
        <v>0</v>
      </c>
      <c r="T129" s="32">
        <f t="shared" si="138"/>
        <v>0</v>
      </c>
      <c r="U129" s="32">
        <f t="shared" si="138"/>
        <v>0</v>
      </c>
      <c r="V129" s="32">
        <f t="shared" si="138"/>
        <v>0</v>
      </c>
      <c r="W129" s="32">
        <f t="shared" si="134"/>
        <v>0</v>
      </c>
      <c r="X129" s="30">
        <f t="shared" si="95"/>
        <v>1.2000000000000002</v>
      </c>
      <c r="Y129" s="61"/>
      <c r="Z129" s="61"/>
      <c r="AA129" s="61"/>
      <c r="AB129" s="61"/>
      <c r="AC129" s="61"/>
      <c r="AD129" s="61"/>
      <c r="AE129" s="61"/>
    </row>
    <row r="130" spans="1:31" ht="15.95" customHeight="1">
      <c r="A130" s="54" t="s">
        <v>6</v>
      </c>
      <c r="B130" s="62" t="s">
        <v>32</v>
      </c>
      <c r="C130" s="58">
        <v>6</v>
      </c>
      <c r="D130" s="58">
        <v>4</v>
      </c>
      <c r="E130" s="58">
        <v>6</v>
      </c>
      <c r="F130" s="58">
        <v>5</v>
      </c>
      <c r="G130" s="58">
        <v>3</v>
      </c>
      <c r="H130" s="58">
        <v>5</v>
      </c>
      <c r="I130" s="58">
        <v>4</v>
      </c>
      <c r="J130" s="58">
        <v>3</v>
      </c>
      <c r="K130" s="58">
        <v>4</v>
      </c>
      <c r="L130" s="26">
        <f>SUM(C130:K130)</f>
        <v>40</v>
      </c>
      <c r="M130" s="62" t="s">
        <v>32</v>
      </c>
      <c r="N130" s="58">
        <v>5</v>
      </c>
      <c r="O130" s="58">
        <v>4</v>
      </c>
      <c r="P130" s="58">
        <v>5</v>
      </c>
      <c r="Q130" s="58">
        <v>5</v>
      </c>
      <c r="R130" s="58">
        <v>6</v>
      </c>
      <c r="S130" s="58">
        <v>4</v>
      </c>
      <c r="T130" s="58">
        <v>5</v>
      </c>
      <c r="U130" s="58">
        <v>4</v>
      </c>
      <c r="V130" s="58">
        <v>4</v>
      </c>
      <c r="W130" s="26">
        <f>SUM(N130:V130)</f>
        <v>42</v>
      </c>
      <c r="X130" s="33">
        <f t="shared" si="95"/>
        <v>82</v>
      </c>
      <c r="Y130" s="61"/>
      <c r="Z130" s="61"/>
      <c r="AA130" s="61"/>
      <c r="AB130" s="61"/>
      <c r="AC130" s="61"/>
      <c r="AD130" s="61"/>
      <c r="AE130" s="61"/>
    </row>
    <row r="131" spans="1:31" ht="15.95" customHeight="1">
      <c r="A131" s="55">
        <v>0</v>
      </c>
      <c r="B131" s="27" t="s">
        <v>31</v>
      </c>
      <c r="C131" s="69"/>
      <c r="D131" s="69"/>
      <c r="E131" s="69"/>
      <c r="F131" s="69"/>
      <c r="G131" s="69"/>
      <c r="H131" s="69"/>
      <c r="I131" s="69"/>
      <c r="J131" s="69"/>
      <c r="K131" s="69"/>
      <c r="L131" s="24">
        <f t="shared" ref="L131:L133" si="139">SUM(C131:K131)</f>
        <v>0</v>
      </c>
      <c r="M131" s="27" t="s">
        <v>31</v>
      </c>
      <c r="N131" s="69"/>
      <c r="O131" s="28"/>
      <c r="P131" s="69"/>
      <c r="Q131" s="28"/>
      <c r="R131" s="69"/>
      <c r="S131" s="28"/>
      <c r="T131" s="28"/>
      <c r="U131" s="28"/>
      <c r="V131" s="28"/>
      <c r="W131" s="24">
        <f t="shared" ref="W131:W133" si="140">SUM(N131:V131)</f>
        <v>0</v>
      </c>
      <c r="X131" s="25">
        <f t="shared" si="95"/>
        <v>0</v>
      </c>
      <c r="Y131" s="61"/>
      <c r="Z131" s="61"/>
      <c r="AA131" s="61"/>
      <c r="AB131" s="61"/>
      <c r="AC131" s="61"/>
      <c r="AD131" s="61"/>
      <c r="AE131" s="61"/>
    </row>
    <row r="132" spans="1:31" ht="15.95" customHeight="1">
      <c r="A132" s="37"/>
      <c r="B132" s="60" t="s">
        <v>33</v>
      </c>
      <c r="C132" s="66">
        <f t="shared" ref="C132:K132" si="141">SUM(C130:C131)</f>
        <v>6</v>
      </c>
      <c r="D132" s="66">
        <f t="shared" si="141"/>
        <v>4</v>
      </c>
      <c r="E132" s="66">
        <f t="shared" si="141"/>
        <v>6</v>
      </c>
      <c r="F132" s="66">
        <f t="shared" si="141"/>
        <v>5</v>
      </c>
      <c r="G132" s="66">
        <f t="shared" si="141"/>
        <v>3</v>
      </c>
      <c r="H132" s="66">
        <f t="shared" si="141"/>
        <v>5</v>
      </c>
      <c r="I132" s="66">
        <f t="shared" si="141"/>
        <v>4</v>
      </c>
      <c r="J132" s="66">
        <f t="shared" si="141"/>
        <v>3</v>
      </c>
      <c r="K132" s="66">
        <f t="shared" si="141"/>
        <v>4</v>
      </c>
      <c r="L132" s="22">
        <f t="shared" si="139"/>
        <v>40</v>
      </c>
      <c r="M132" s="60" t="s">
        <v>33</v>
      </c>
      <c r="N132" s="66">
        <f t="shared" ref="N132:V132" si="142">SUM(N130:N131)</f>
        <v>5</v>
      </c>
      <c r="O132" s="66">
        <f t="shared" si="142"/>
        <v>4</v>
      </c>
      <c r="P132" s="66">
        <f t="shared" si="142"/>
        <v>5</v>
      </c>
      <c r="Q132" s="66">
        <f t="shared" si="142"/>
        <v>5</v>
      </c>
      <c r="R132" s="66">
        <f t="shared" si="142"/>
        <v>6</v>
      </c>
      <c r="S132" s="66">
        <f t="shared" si="142"/>
        <v>4</v>
      </c>
      <c r="T132" s="66">
        <f t="shared" si="142"/>
        <v>5</v>
      </c>
      <c r="U132" s="66">
        <f t="shared" si="142"/>
        <v>4</v>
      </c>
      <c r="V132" s="66">
        <f t="shared" si="142"/>
        <v>4</v>
      </c>
      <c r="W132" s="22">
        <f t="shared" si="140"/>
        <v>42</v>
      </c>
      <c r="X132" s="15">
        <f t="shared" si="95"/>
        <v>82</v>
      </c>
      <c r="Y132" s="61"/>
      <c r="Z132" s="61"/>
      <c r="AA132" s="61"/>
      <c r="AB132" s="61"/>
      <c r="AC132" s="61"/>
      <c r="AD132" s="61"/>
      <c r="AE132" s="61"/>
    </row>
    <row r="133" spans="1:31" ht="15.95" customHeight="1" thickBot="1">
      <c r="A133" s="53"/>
      <c r="B133" s="31" t="s">
        <v>34</v>
      </c>
      <c r="C133" s="32">
        <f t="shared" ref="C133:K133" si="143">IF(C132=0,0,IF(C132-C96=-3,3,IF(C132-C96=-2,1.5,IF(C132-C96=-1,0.8,IF(C132-C96=0,0.4,IF(C132-C96=1,0,IF(C132-C96&lt;=2&gt;15,0,_xludf.IF)))))))</f>
        <v>0</v>
      </c>
      <c r="D133" s="32">
        <f t="shared" si="143"/>
        <v>0.4</v>
      </c>
      <c r="E133" s="32">
        <f t="shared" si="143"/>
        <v>0</v>
      </c>
      <c r="F133" s="32">
        <f t="shared" si="143"/>
        <v>0.4</v>
      </c>
      <c r="G133" s="32">
        <f t="shared" si="143"/>
        <v>0.4</v>
      </c>
      <c r="H133" s="32">
        <f t="shared" si="143"/>
        <v>0</v>
      </c>
      <c r="I133" s="32">
        <f t="shared" si="143"/>
        <v>0.4</v>
      </c>
      <c r="J133" s="32">
        <f t="shared" si="143"/>
        <v>0.4</v>
      </c>
      <c r="K133" s="32">
        <f t="shared" si="143"/>
        <v>0.8</v>
      </c>
      <c r="L133" s="32">
        <f t="shared" si="139"/>
        <v>2.8</v>
      </c>
      <c r="M133" s="31" t="s">
        <v>34</v>
      </c>
      <c r="N133" s="32">
        <f t="shared" ref="N133:V133" si="144">IF(N132=0,0,IF(N132-N96=-3,3,IF(N132-N96=-2,1.5,IF(N132-N96=-1,0.8,IF(N132-N96=0,0.4,IF(N132-N96=1,0,IF(N132-N96&lt;=2&gt;15,0,_xludf.IF)))))))</f>
        <v>0</v>
      </c>
      <c r="O133" s="32">
        <f t="shared" si="144"/>
        <v>0</v>
      </c>
      <c r="P133" s="32">
        <f t="shared" si="144"/>
        <v>0.4</v>
      </c>
      <c r="Q133" s="32">
        <f t="shared" si="144"/>
        <v>0</v>
      </c>
      <c r="R133" s="32">
        <f t="shared" si="144"/>
        <v>0</v>
      </c>
      <c r="S133" s="32">
        <f t="shared" si="144"/>
        <v>0</v>
      </c>
      <c r="T133" s="32">
        <f t="shared" si="144"/>
        <v>0</v>
      </c>
      <c r="U133" s="32">
        <f t="shared" si="144"/>
        <v>0.8</v>
      </c>
      <c r="V133" s="32">
        <f t="shared" si="144"/>
        <v>0</v>
      </c>
      <c r="W133" s="32">
        <f t="shared" si="140"/>
        <v>1.2000000000000002</v>
      </c>
      <c r="X133" s="30">
        <f t="shared" si="95"/>
        <v>4</v>
      </c>
      <c r="Y133" s="61"/>
      <c r="Z133" s="61"/>
      <c r="AA133" s="61"/>
      <c r="AB133" s="61"/>
      <c r="AC133" s="61"/>
      <c r="AD133" s="61"/>
      <c r="AE133" s="61"/>
    </row>
    <row r="134" spans="1:31" ht="15.95" customHeight="1">
      <c r="A134" s="54" t="s">
        <v>2</v>
      </c>
      <c r="B134" s="62" t="s">
        <v>32</v>
      </c>
      <c r="C134" s="58">
        <v>6</v>
      </c>
      <c r="D134" s="58">
        <v>5</v>
      </c>
      <c r="E134" s="58">
        <v>3</v>
      </c>
      <c r="F134" s="58">
        <v>9</v>
      </c>
      <c r="G134" s="58">
        <v>4</v>
      </c>
      <c r="H134" s="58">
        <v>6</v>
      </c>
      <c r="I134" s="58">
        <v>7</v>
      </c>
      <c r="J134" s="58">
        <v>4</v>
      </c>
      <c r="K134" s="58">
        <v>8</v>
      </c>
      <c r="L134" s="26">
        <f>SUM(C134:K134)</f>
        <v>52</v>
      </c>
      <c r="M134" s="62" t="s">
        <v>32</v>
      </c>
      <c r="N134" s="58">
        <v>6</v>
      </c>
      <c r="O134" s="58">
        <v>4</v>
      </c>
      <c r="P134" s="58">
        <v>5</v>
      </c>
      <c r="Q134" s="58">
        <v>5</v>
      </c>
      <c r="R134" s="58">
        <v>8</v>
      </c>
      <c r="S134" s="58">
        <v>4</v>
      </c>
      <c r="T134" s="58">
        <v>5</v>
      </c>
      <c r="U134" s="58">
        <v>7</v>
      </c>
      <c r="V134" s="58">
        <v>3</v>
      </c>
      <c r="W134" s="26">
        <f>SUM(N134:V134)</f>
        <v>47</v>
      </c>
      <c r="X134" s="33">
        <f t="shared" si="95"/>
        <v>99</v>
      </c>
      <c r="Y134" s="61"/>
      <c r="Z134" s="61"/>
      <c r="AA134" s="61"/>
      <c r="AB134" s="61"/>
      <c r="AC134" s="61"/>
      <c r="AD134" s="61"/>
      <c r="AE134" s="61"/>
    </row>
    <row r="135" spans="1:31" ht="15.95" customHeight="1">
      <c r="A135" s="55">
        <v>9</v>
      </c>
      <c r="B135" s="27" t="s">
        <v>31</v>
      </c>
      <c r="C135" s="69">
        <v>-1</v>
      </c>
      <c r="D135" s="69">
        <v>-1</v>
      </c>
      <c r="E135" s="28"/>
      <c r="F135" s="28">
        <v>-1</v>
      </c>
      <c r="G135" s="28"/>
      <c r="H135" s="69"/>
      <c r="I135" s="69"/>
      <c r="J135" s="28"/>
      <c r="K135" s="28">
        <v>-1</v>
      </c>
      <c r="L135" s="24">
        <f t="shared" ref="L135:L137" si="145">SUM(C135:K135)</f>
        <v>-4</v>
      </c>
      <c r="M135" s="27" t="s">
        <v>31</v>
      </c>
      <c r="N135" s="69">
        <v>-1</v>
      </c>
      <c r="O135" s="28"/>
      <c r="P135" s="28">
        <v>-1</v>
      </c>
      <c r="Q135" s="69">
        <v>-1</v>
      </c>
      <c r="R135" s="69">
        <v>-1</v>
      </c>
      <c r="S135" s="28"/>
      <c r="T135" s="28">
        <v>-1</v>
      </c>
      <c r="U135" s="28"/>
      <c r="V135" s="28"/>
      <c r="W135" s="24">
        <f t="shared" ref="W135:W137" si="146">SUM(N135:V135)</f>
        <v>-5</v>
      </c>
      <c r="X135" s="25">
        <f t="shared" si="95"/>
        <v>-9</v>
      </c>
      <c r="Y135" s="61"/>
      <c r="Z135" s="61"/>
      <c r="AA135" s="61"/>
      <c r="AB135" s="61"/>
      <c r="AC135" s="61"/>
      <c r="AD135" s="61"/>
      <c r="AE135" s="61"/>
    </row>
    <row r="136" spans="1:31" ht="15.95" customHeight="1">
      <c r="A136" s="37"/>
      <c r="B136" s="60" t="s">
        <v>33</v>
      </c>
      <c r="C136" s="66">
        <f t="shared" ref="C136:K136" si="147">SUM(C134:C135)</f>
        <v>5</v>
      </c>
      <c r="D136" s="66">
        <f t="shared" si="147"/>
        <v>4</v>
      </c>
      <c r="E136" s="66">
        <f t="shared" si="147"/>
        <v>3</v>
      </c>
      <c r="F136" s="66">
        <f t="shared" si="147"/>
        <v>8</v>
      </c>
      <c r="G136" s="66">
        <f t="shared" si="147"/>
        <v>4</v>
      </c>
      <c r="H136" s="66">
        <f t="shared" si="147"/>
        <v>6</v>
      </c>
      <c r="I136" s="66">
        <f t="shared" si="147"/>
        <v>7</v>
      </c>
      <c r="J136" s="66">
        <f t="shared" si="147"/>
        <v>4</v>
      </c>
      <c r="K136" s="66">
        <f t="shared" si="147"/>
        <v>7</v>
      </c>
      <c r="L136" s="22">
        <f t="shared" si="145"/>
        <v>48</v>
      </c>
      <c r="M136" s="60" t="s">
        <v>33</v>
      </c>
      <c r="N136" s="66">
        <f t="shared" ref="N136:V136" si="148">SUM(N134:N135)</f>
        <v>5</v>
      </c>
      <c r="O136" s="66">
        <f t="shared" si="148"/>
        <v>4</v>
      </c>
      <c r="P136" s="66">
        <f t="shared" si="148"/>
        <v>4</v>
      </c>
      <c r="Q136" s="66">
        <f t="shared" si="148"/>
        <v>4</v>
      </c>
      <c r="R136" s="66">
        <f t="shared" si="148"/>
        <v>7</v>
      </c>
      <c r="S136" s="66">
        <f t="shared" si="148"/>
        <v>4</v>
      </c>
      <c r="T136" s="66">
        <f t="shared" si="148"/>
        <v>4</v>
      </c>
      <c r="U136" s="66">
        <f t="shared" si="148"/>
        <v>7</v>
      </c>
      <c r="V136" s="66">
        <f t="shared" si="148"/>
        <v>3</v>
      </c>
      <c r="W136" s="22">
        <f t="shared" si="146"/>
        <v>42</v>
      </c>
      <c r="X136" s="15">
        <f t="shared" si="95"/>
        <v>90</v>
      </c>
      <c r="Y136" s="61"/>
      <c r="Z136" s="61"/>
      <c r="AA136" s="61"/>
      <c r="AB136" s="61"/>
      <c r="AC136" s="61"/>
      <c r="AD136" s="61"/>
      <c r="AE136" s="61"/>
    </row>
    <row r="137" spans="1:31" ht="15.95" customHeight="1" thickBot="1">
      <c r="A137" s="53"/>
      <c r="B137" s="31" t="s">
        <v>34</v>
      </c>
      <c r="C137" s="32">
        <f t="shared" ref="C137:K137" si="149">IF(C136=0,0,IF(C136-C96=-3,3,IF(C136-C96=-2,1.5,IF(C136-C96=-1,0.8,IF(C136-C96=0,0.4,IF(C136-C96=1,0,IF(C136-C96&lt;=2&gt;15,0,_xludf.IF)))))))</f>
        <v>0.4</v>
      </c>
      <c r="D137" s="32">
        <f t="shared" si="149"/>
        <v>0.4</v>
      </c>
      <c r="E137" s="32">
        <f t="shared" si="149"/>
        <v>0.4</v>
      </c>
      <c r="F137" s="32">
        <f t="shared" si="149"/>
        <v>0</v>
      </c>
      <c r="G137" s="32">
        <f t="shared" si="149"/>
        <v>0</v>
      </c>
      <c r="H137" s="32">
        <f t="shared" si="149"/>
        <v>0</v>
      </c>
      <c r="I137" s="32">
        <f t="shared" si="149"/>
        <v>0</v>
      </c>
      <c r="J137" s="32">
        <f t="shared" si="149"/>
        <v>0</v>
      </c>
      <c r="K137" s="32">
        <f t="shared" si="149"/>
        <v>0</v>
      </c>
      <c r="L137" s="32">
        <f t="shared" si="145"/>
        <v>1.2000000000000002</v>
      </c>
      <c r="M137" s="31" t="s">
        <v>34</v>
      </c>
      <c r="N137" s="32">
        <f t="shared" ref="N137:V137" si="150">IF(N136=0,0,IF(N136-N96=-3,3,IF(N136-N96=-2,1.5,IF(N136-N96=-1,0.8,IF(N136-N96=0,0.4,IF(N136-N96=1,0,IF(N136-N96&lt;=2&gt;15,0,_xludf.IF)))))))</f>
        <v>0</v>
      </c>
      <c r="O137" s="32">
        <f t="shared" si="150"/>
        <v>0</v>
      </c>
      <c r="P137" s="32">
        <f t="shared" si="150"/>
        <v>0.8</v>
      </c>
      <c r="Q137" s="32">
        <f t="shared" si="150"/>
        <v>0.4</v>
      </c>
      <c r="R137" s="32">
        <f t="shared" si="150"/>
        <v>0</v>
      </c>
      <c r="S137" s="32">
        <f t="shared" si="150"/>
        <v>0</v>
      </c>
      <c r="T137" s="32">
        <f t="shared" si="150"/>
        <v>0.4</v>
      </c>
      <c r="U137" s="32">
        <f t="shared" si="150"/>
        <v>0</v>
      </c>
      <c r="V137" s="32">
        <f t="shared" si="150"/>
        <v>0.4</v>
      </c>
      <c r="W137" s="32">
        <f t="shared" si="146"/>
        <v>2</v>
      </c>
      <c r="X137" s="30">
        <f t="shared" si="95"/>
        <v>3.2</v>
      </c>
      <c r="Y137" s="61"/>
      <c r="Z137" s="61"/>
      <c r="AA137" s="61"/>
      <c r="AB137" s="61"/>
      <c r="AC137" s="61"/>
      <c r="AD137" s="61"/>
      <c r="AE137" s="61"/>
    </row>
    <row r="138" spans="1:31" ht="15.95" customHeight="1">
      <c r="A138" s="54" t="s">
        <v>16</v>
      </c>
      <c r="B138" s="62" t="s">
        <v>32</v>
      </c>
      <c r="C138" s="58">
        <v>6</v>
      </c>
      <c r="D138" s="58">
        <v>5</v>
      </c>
      <c r="E138" s="58">
        <v>5</v>
      </c>
      <c r="F138" s="58">
        <v>6</v>
      </c>
      <c r="G138" s="58">
        <v>5</v>
      </c>
      <c r="H138" s="58">
        <v>6</v>
      </c>
      <c r="I138" s="58">
        <v>7</v>
      </c>
      <c r="J138" s="58">
        <v>6</v>
      </c>
      <c r="K138" s="58">
        <v>7</v>
      </c>
      <c r="L138" s="26">
        <f>SUM(C138:K138)</f>
        <v>53</v>
      </c>
      <c r="M138" s="62" t="s">
        <v>32</v>
      </c>
      <c r="N138" s="58">
        <v>6</v>
      </c>
      <c r="O138" s="58">
        <v>5</v>
      </c>
      <c r="P138" s="58">
        <v>8</v>
      </c>
      <c r="Q138" s="58">
        <v>7</v>
      </c>
      <c r="R138" s="58">
        <v>5</v>
      </c>
      <c r="S138" s="58">
        <v>5</v>
      </c>
      <c r="T138" s="58">
        <v>6</v>
      </c>
      <c r="U138" s="58">
        <v>7</v>
      </c>
      <c r="V138" s="58">
        <v>5</v>
      </c>
      <c r="W138" s="26">
        <f>SUM(N138:V138)</f>
        <v>54</v>
      </c>
      <c r="X138" s="33">
        <f t="shared" si="95"/>
        <v>107</v>
      </c>
      <c r="Y138" s="61"/>
      <c r="Z138" s="61"/>
      <c r="AA138" s="61"/>
      <c r="AB138" s="61"/>
      <c r="AC138" s="61"/>
      <c r="AD138" s="61"/>
      <c r="AE138" s="61"/>
    </row>
    <row r="139" spans="1:31" ht="15.95" customHeight="1">
      <c r="A139" s="55">
        <v>10</v>
      </c>
      <c r="B139" s="27" t="s">
        <v>31</v>
      </c>
      <c r="C139" s="28">
        <v>-1</v>
      </c>
      <c r="D139" s="28">
        <v>-1</v>
      </c>
      <c r="E139" s="28"/>
      <c r="F139" s="28">
        <v>-1</v>
      </c>
      <c r="G139" s="28"/>
      <c r="H139" s="28"/>
      <c r="I139" s="28">
        <v>-1</v>
      </c>
      <c r="J139" s="28"/>
      <c r="K139" s="28">
        <v>-1</v>
      </c>
      <c r="L139" s="24">
        <f t="shared" ref="L139:L141" si="151">SUM(C139:K139)</f>
        <v>-5</v>
      </c>
      <c r="M139" s="27" t="s">
        <v>31</v>
      </c>
      <c r="N139" s="28">
        <v>-1</v>
      </c>
      <c r="O139" s="28"/>
      <c r="P139" s="28">
        <v>-1</v>
      </c>
      <c r="Q139" s="28">
        <v>-1</v>
      </c>
      <c r="R139" s="28">
        <v>-1</v>
      </c>
      <c r="S139" s="28"/>
      <c r="T139" s="28">
        <v>-1</v>
      </c>
      <c r="U139" s="28"/>
      <c r="V139" s="28"/>
      <c r="W139" s="24">
        <f t="shared" ref="W139:W141" si="152">SUM(N139:V139)</f>
        <v>-5</v>
      </c>
      <c r="X139" s="25">
        <f t="shared" si="95"/>
        <v>-10</v>
      </c>
      <c r="Y139" s="61"/>
      <c r="Z139" s="61"/>
      <c r="AA139" s="61"/>
      <c r="AB139" s="61"/>
      <c r="AC139" s="61"/>
      <c r="AD139" s="61"/>
      <c r="AE139" s="61"/>
    </row>
    <row r="140" spans="1:31" ht="15.95" customHeight="1">
      <c r="A140" s="37"/>
      <c r="B140" s="60" t="s">
        <v>33</v>
      </c>
      <c r="C140" s="66">
        <f t="shared" ref="C140:K140" si="153">SUM(C138:C139)</f>
        <v>5</v>
      </c>
      <c r="D140" s="66">
        <f t="shared" si="153"/>
        <v>4</v>
      </c>
      <c r="E140" s="66">
        <f t="shared" si="153"/>
        <v>5</v>
      </c>
      <c r="F140" s="66">
        <f t="shared" si="153"/>
        <v>5</v>
      </c>
      <c r="G140" s="66">
        <f t="shared" si="153"/>
        <v>5</v>
      </c>
      <c r="H140" s="66">
        <f t="shared" si="153"/>
        <v>6</v>
      </c>
      <c r="I140" s="66">
        <f t="shared" si="153"/>
        <v>6</v>
      </c>
      <c r="J140" s="66">
        <f t="shared" si="153"/>
        <v>6</v>
      </c>
      <c r="K140" s="66">
        <f t="shared" si="153"/>
        <v>6</v>
      </c>
      <c r="L140" s="22">
        <f t="shared" si="151"/>
        <v>48</v>
      </c>
      <c r="M140" s="60" t="s">
        <v>33</v>
      </c>
      <c r="N140" s="66">
        <f t="shared" ref="N140:V140" si="154">SUM(N138:N139)</f>
        <v>5</v>
      </c>
      <c r="O140" s="66">
        <f t="shared" si="154"/>
        <v>5</v>
      </c>
      <c r="P140" s="66">
        <f t="shared" si="154"/>
        <v>7</v>
      </c>
      <c r="Q140" s="66">
        <f t="shared" si="154"/>
        <v>6</v>
      </c>
      <c r="R140" s="66">
        <f t="shared" si="154"/>
        <v>4</v>
      </c>
      <c r="S140" s="66">
        <f t="shared" si="154"/>
        <v>5</v>
      </c>
      <c r="T140" s="66">
        <f t="shared" si="154"/>
        <v>5</v>
      </c>
      <c r="U140" s="66">
        <f t="shared" si="154"/>
        <v>7</v>
      </c>
      <c r="V140" s="66">
        <f t="shared" si="154"/>
        <v>5</v>
      </c>
      <c r="W140" s="22">
        <f t="shared" si="152"/>
        <v>49</v>
      </c>
      <c r="X140" s="15">
        <f t="shared" si="95"/>
        <v>97</v>
      </c>
      <c r="Y140" s="61"/>
      <c r="Z140" s="61"/>
      <c r="AA140" s="61"/>
      <c r="AB140" s="61"/>
      <c r="AC140" s="61"/>
      <c r="AD140" s="61"/>
      <c r="AE140" s="61"/>
    </row>
    <row r="141" spans="1:31" ht="15.95" customHeight="1" thickBot="1">
      <c r="A141" s="53"/>
      <c r="B141" s="31" t="s">
        <v>34</v>
      </c>
      <c r="C141" s="32">
        <f t="shared" ref="C141:D141" si="155">IF(C140=0,0,IF(C140-C96=-3,3,IF(C140-C96=-2,1.5,IF(C140-C96=-1,0.8,IF(C140-C96=0,0.4,IF(C140-C96=1,0,IF(C140-C96&lt;=2&gt;15,0,_xludf.IF)))))))</f>
        <v>0.4</v>
      </c>
      <c r="D141" s="32">
        <f t="shared" si="155"/>
        <v>0.4</v>
      </c>
      <c r="E141" s="32">
        <f>IF(E140=0,0,IF(E140-E96=-3,3,IF(E140-E96=-2,1.5,IF(E140-E96=-1,0.8,IF(E140-E96=0,0.4,IF(E140-E96=1,0,IF(E140-E96&lt;=2&gt;15,0,_xludf.IF)))))))</f>
        <v>0</v>
      </c>
      <c r="F141" s="32">
        <f>IF(F140=0,0,IF(F140-F96=-3,3,IF(F140-F96=-2,1.5,IF(F140-F96=-1,0.8,IF(F140-F96=0,0.4,IF(F140-F96=1,0,IF(F140-F96&lt;=2&gt;15,0,_xludf.IF)))))))</f>
        <v>0.4</v>
      </c>
      <c r="G141" s="32">
        <f t="shared" ref="G141:K141" si="156">IF(G140=0,0,IF(G140-G96=-3,3,IF(G140-G96=-2,1.5,IF(G140-G96=-1,0.8,IF(G140-G96=0,0.4,IF(G140-G96=1,0,IF(G140-G96&lt;=2&gt;15,0,_xludf.IF)))))))</f>
        <v>0</v>
      </c>
      <c r="H141" s="32">
        <f t="shared" si="156"/>
        <v>0</v>
      </c>
      <c r="I141" s="32">
        <f t="shared" si="156"/>
        <v>0</v>
      </c>
      <c r="J141" s="32">
        <f t="shared" si="156"/>
        <v>0</v>
      </c>
      <c r="K141" s="32">
        <f t="shared" si="156"/>
        <v>0</v>
      </c>
      <c r="L141" s="32">
        <f t="shared" si="151"/>
        <v>1.2000000000000002</v>
      </c>
      <c r="M141" s="31" t="s">
        <v>34</v>
      </c>
      <c r="N141" s="32">
        <f t="shared" ref="N141:V141" si="157">IF(N140=0,0,IF(N140-N96=-3,3,IF(N140-N96=-2,1.5,IF(N140-N96=-1,0.8,IF(N140-N96=0,0.4,IF(N140-N96=1,0,IF(N140-N96&lt;=2&gt;15,0,_xludf.IF)))))))</f>
        <v>0</v>
      </c>
      <c r="O141" s="32">
        <f t="shared" si="157"/>
        <v>0</v>
      </c>
      <c r="P141" s="32">
        <f t="shared" si="157"/>
        <v>0</v>
      </c>
      <c r="Q141" s="32">
        <f t="shared" si="157"/>
        <v>0</v>
      </c>
      <c r="R141" s="32">
        <f t="shared" si="157"/>
        <v>0.4</v>
      </c>
      <c r="S141" s="32">
        <f t="shared" si="157"/>
        <v>0</v>
      </c>
      <c r="T141" s="32">
        <f t="shared" si="157"/>
        <v>0</v>
      </c>
      <c r="U141" s="32">
        <f t="shared" si="157"/>
        <v>0</v>
      </c>
      <c r="V141" s="32">
        <f t="shared" si="157"/>
        <v>0</v>
      </c>
      <c r="W141" s="32">
        <f t="shared" si="152"/>
        <v>0.4</v>
      </c>
      <c r="X141" s="30">
        <f t="shared" si="95"/>
        <v>1.6</v>
      </c>
      <c r="Y141" s="61"/>
      <c r="Z141" s="61"/>
      <c r="AA141" s="61"/>
      <c r="AB141" s="61"/>
      <c r="AC141" s="61"/>
      <c r="AD141" s="61"/>
      <c r="AE141" s="61"/>
    </row>
    <row r="142" spans="1:31" ht="15.95" customHeight="1">
      <c r="A142" s="54" t="s">
        <v>4</v>
      </c>
      <c r="B142" s="62" t="s">
        <v>32</v>
      </c>
      <c r="C142" s="58">
        <v>5</v>
      </c>
      <c r="D142" s="58">
        <v>5</v>
      </c>
      <c r="E142" s="58">
        <v>5</v>
      </c>
      <c r="F142" s="58">
        <v>7</v>
      </c>
      <c r="G142" s="58">
        <v>4</v>
      </c>
      <c r="H142" s="58">
        <v>5</v>
      </c>
      <c r="I142" s="58">
        <v>5</v>
      </c>
      <c r="J142" s="58">
        <v>4</v>
      </c>
      <c r="K142" s="58">
        <v>4</v>
      </c>
      <c r="L142" s="26">
        <f>SUM(C142:K142)</f>
        <v>44</v>
      </c>
      <c r="M142" s="62" t="s">
        <v>32</v>
      </c>
      <c r="N142" s="58">
        <v>5</v>
      </c>
      <c r="O142" s="58">
        <v>3</v>
      </c>
      <c r="P142" s="58">
        <v>6</v>
      </c>
      <c r="Q142" s="58">
        <v>5</v>
      </c>
      <c r="R142" s="58">
        <v>6</v>
      </c>
      <c r="S142" s="58">
        <v>5</v>
      </c>
      <c r="T142" s="58">
        <v>4</v>
      </c>
      <c r="U142" s="58">
        <v>7</v>
      </c>
      <c r="V142" s="58">
        <v>5</v>
      </c>
      <c r="W142" s="26">
        <f>SUM(N142:V142)</f>
        <v>46</v>
      </c>
      <c r="X142" s="33">
        <f t="shared" si="95"/>
        <v>90</v>
      </c>
      <c r="Y142" s="61"/>
      <c r="Z142" s="61"/>
      <c r="AA142" s="61"/>
      <c r="AB142" s="61"/>
      <c r="AC142" s="61"/>
      <c r="AD142" s="61"/>
      <c r="AE142" s="61"/>
    </row>
    <row r="143" spans="1:31" ht="15.95" customHeight="1">
      <c r="A143" s="55">
        <v>11</v>
      </c>
      <c r="B143" s="27" t="s">
        <v>31</v>
      </c>
      <c r="C143" s="28">
        <v>-1</v>
      </c>
      <c r="D143" s="28">
        <v>-1</v>
      </c>
      <c r="E143" s="28"/>
      <c r="F143" s="28">
        <v>-1</v>
      </c>
      <c r="G143" s="69"/>
      <c r="H143" s="28">
        <v>-1</v>
      </c>
      <c r="I143" s="28">
        <v>-1</v>
      </c>
      <c r="J143" s="28"/>
      <c r="K143" s="28">
        <v>-1</v>
      </c>
      <c r="L143" s="24">
        <f t="shared" ref="L143:L144" si="158">SUM(C143:K143)</f>
        <v>-6</v>
      </c>
      <c r="M143" s="27" t="s">
        <v>31</v>
      </c>
      <c r="N143" s="28">
        <v>-1</v>
      </c>
      <c r="O143" s="69"/>
      <c r="P143" s="28">
        <v>-1</v>
      </c>
      <c r="Q143" s="28">
        <v>-1</v>
      </c>
      <c r="R143" s="28">
        <v>-1</v>
      </c>
      <c r="S143" s="69"/>
      <c r="T143" s="28">
        <v>-1</v>
      </c>
      <c r="U143" s="69"/>
      <c r="V143" s="69"/>
      <c r="W143" s="24">
        <f t="shared" ref="W143:W145" si="159">SUM(N143:V143)</f>
        <v>-5</v>
      </c>
      <c r="X143" s="25">
        <f t="shared" si="95"/>
        <v>-11</v>
      </c>
      <c r="Y143" s="61"/>
      <c r="Z143" s="61"/>
      <c r="AA143" s="61"/>
      <c r="AB143" s="61"/>
      <c r="AC143" s="61"/>
      <c r="AD143" s="61"/>
      <c r="AE143" s="61"/>
    </row>
    <row r="144" spans="1:31" ht="15.95" customHeight="1">
      <c r="A144" s="37"/>
      <c r="B144" s="60" t="s">
        <v>33</v>
      </c>
      <c r="C144" s="66">
        <f t="shared" ref="C144:K144" si="160">SUM(C142:C143)</f>
        <v>4</v>
      </c>
      <c r="D144" s="66">
        <f t="shared" si="160"/>
        <v>4</v>
      </c>
      <c r="E144" s="66">
        <f t="shared" si="160"/>
        <v>5</v>
      </c>
      <c r="F144" s="66">
        <f t="shared" si="160"/>
        <v>6</v>
      </c>
      <c r="G144" s="66">
        <f t="shared" si="160"/>
        <v>4</v>
      </c>
      <c r="H144" s="66">
        <f t="shared" si="160"/>
        <v>4</v>
      </c>
      <c r="I144" s="66">
        <f t="shared" si="160"/>
        <v>4</v>
      </c>
      <c r="J144" s="66">
        <f t="shared" si="160"/>
        <v>4</v>
      </c>
      <c r="K144" s="66">
        <f t="shared" si="160"/>
        <v>3</v>
      </c>
      <c r="L144" s="22">
        <f t="shared" si="158"/>
        <v>38</v>
      </c>
      <c r="M144" s="60" t="s">
        <v>33</v>
      </c>
      <c r="N144" s="66">
        <f t="shared" ref="N144:V144" si="161">SUM(N142:N143)</f>
        <v>4</v>
      </c>
      <c r="O144" s="66">
        <f t="shared" si="161"/>
        <v>3</v>
      </c>
      <c r="P144" s="66">
        <f t="shared" si="161"/>
        <v>5</v>
      </c>
      <c r="Q144" s="66">
        <f t="shared" si="161"/>
        <v>4</v>
      </c>
      <c r="R144" s="66">
        <f t="shared" si="161"/>
        <v>5</v>
      </c>
      <c r="S144" s="66">
        <f t="shared" si="161"/>
        <v>5</v>
      </c>
      <c r="T144" s="66">
        <f t="shared" si="161"/>
        <v>3</v>
      </c>
      <c r="U144" s="66">
        <f t="shared" si="161"/>
        <v>7</v>
      </c>
      <c r="V144" s="66">
        <f t="shared" si="161"/>
        <v>5</v>
      </c>
      <c r="W144" s="22">
        <f t="shared" si="159"/>
        <v>41</v>
      </c>
      <c r="X144" s="15">
        <f t="shared" si="95"/>
        <v>79</v>
      </c>
      <c r="Y144" s="61"/>
      <c r="Z144" s="61"/>
      <c r="AA144" s="61"/>
      <c r="AB144" s="61"/>
      <c r="AC144" s="61"/>
      <c r="AD144" s="61"/>
      <c r="AE144" s="61"/>
    </row>
    <row r="145" spans="1:31" ht="15.95" customHeight="1" thickBot="1">
      <c r="A145" s="53"/>
      <c r="B145" s="31" t="s">
        <v>34</v>
      </c>
      <c r="C145" s="32">
        <f t="shared" ref="C145:K145" si="162">IF(C144=0,0,IF(C144-C96=-3,3,IF(C144-C96=-2,1.5,IF(C144-C96=-1,0.8,IF(C144-C96=0,0.4,IF(C144-C96=1,0,IF(C144-C96&lt;=2&gt;15,0,_xludf.IF)))))))</f>
        <v>0.8</v>
      </c>
      <c r="D145" s="32">
        <f t="shared" si="162"/>
        <v>0.4</v>
      </c>
      <c r="E145" s="32">
        <f t="shared" si="162"/>
        <v>0</v>
      </c>
      <c r="F145" s="32">
        <f t="shared" si="162"/>
        <v>0</v>
      </c>
      <c r="G145" s="32">
        <f t="shared" si="162"/>
        <v>0</v>
      </c>
      <c r="H145" s="32">
        <f t="shared" si="162"/>
        <v>0.4</v>
      </c>
      <c r="I145" s="32">
        <f t="shared" si="162"/>
        <v>0.4</v>
      </c>
      <c r="J145" s="32">
        <f t="shared" si="162"/>
        <v>0</v>
      </c>
      <c r="K145" s="32">
        <f t="shared" si="162"/>
        <v>1.5</v>
      </c>
      <c r="L145" s="32">
        <f>SUM(C145:K145)</f>
        <v>3.5</v>
      </c>
      <c r="M145" s="31" t="s">
        <v>34</v>
      </c>
      <c r="N145" s="32">
        <f t="shared" ref="N145:V145" si="163">IF(N144=0,0,IF(N144-N96=-3,3,IF(N144-N96=-2,1.5,IF(N144-N96=-1,0.8,IF(N144-N96=0,0.4,IF(N144-N96=1,0,IF(N144-N96&lt;=2&gt;15,0,_xludf.IF)))))))</f>
        <v>0.4</v>
      </c>
      <c r="O145" s="32">
        <f t="shared" si="163"/>
        <v>0.4</v>
      </c>
      <c r="P145" s="32">
        <f t="shared" si="163"/>
        <v>0.4</v>
      </c>
      <c r="Q145" s="32">
        <f t="shared" si="163"/>
        <v>0.4</v>
      </c>
      <c r="R145" s="32">
        <f t="shared" si="163"/>
        <v>0</v>
      </c>
      <c r="S145" s="32">
        <f t="shared" si="163"/>
        <v>0</v>
      </c>
      <c r="T145" s="32">
        <f t="shared" si="163"/>
        <v>0.8</v>
      </c>
      <c r="U145" s="32">
        <f t="shared" si="163"/>
        <v>0</v>
      </c>
      <c r="V145" s="32">
        <f t="shared" si="163"/>
        <v>0</v>
      </c>
      <c r="W145" s="32">
        <f t="shared" si="159"/>
        <v>2.4000000000000004</v>
      </c>
      <c r="X145" s="30">
        <f t="shared" si="95"/>
        <v>5.9</v>
      </c>
      <c r="Y145" s="61"/>
      <c r="Z145" s="61"/>
      <c r="AA145" s="61"/>
      <c r="AB145" s="61"/>
      <c r="AC145" s="61"/>
      <c r="AD145" s="61"/>
      <c r="AE145" s="61"/>
    </row>
    <row r="146" spans="1:31" ht="15.95" customHeight="1">
      <c r="A146" s="56" t="s">
        <v>7</v>
      </c>
      <c r="B146" s="62" t="s">
        <v>32</v>
      </c>
      <c r="C146" s="58">
        <v>6</v>
      </c>
      <c r="D146" s="58">
        <v>5</v>
      </c>
      <c r="E146" s="58">
        <v>4</v>
      </c>
      <c r="F146" s="58">
        <v>9</v>
      </c>
      <c r="G146" s="58">
        <v>4</v>
      </c>
      <c r="H146" s="58">
        <v>4</v>
      </c>
      <c r="I146" s="58">
        <v>5</v>
      </c>
      <c r="J146" s="58">
        <v>3</v>
      </c>
      <c r="K146" s="58">
        <v>5</v>
      </c>
      <c r="L146" s="26">
        <f>SUM(C146:K146)</f>
        <v>45</v>
      </c>
      <c r="M146" s="62" t="s">
        <v>32</v>
      </c>
      <c r="N146" s="58">
        <v>5</v>
      </c>
      <c r="O146" s="58">
        <v>5</v>
      </c>
      <c r="P146" s="58">
        <v>6</v>
      </c>
      <c r="Q146" s="58">
        <v>4</v>
      </c>
      <c r="R146" s="58">
        <v>5</v>
      </c>
      <c r="S146" s="58">
        <v>4</v>
      </c>
      <c r="T146" s="58">
        <v>5</v>
      </c>
      <c r="U146" s="58">
        <v>5</v>
      </c>
      <c r="V146" s="58">
        <v>3</v>
      </c>
      <c r="W146" s="26">
        <f>SUM(N146:V146)</f>
        <v>42</v>
      </c>
      <c r="X146" s="33">
        <f t="shared" si="95"/>
        <v>87</v>
      </c>
      <c r="Y146" s="61"/>
      <c r="Z146" s="61"/>
      <c r="AA146" s="61"/>
      <c r="AB146" s="61"/>
      <c r="AC146" s="61"/>
      <c r="AD146" s="61"/>
      <c r="AE146" s="61"/>
    </row>
    <row r="147" spans="1:31" ht="15.95" customHeight="1">
      <c r="A147" s="57">
        <v>2</v>
      </c>
      <c r="B147" s="27" t="s">
        <v>31</v>
      </c>
      <c r="C147" s="69"/>
      <c r="D147" s="69"/>
      <c r="E147" s="28"/>
      <c r="F147" s="69">
        <v>-1</v>
      </c>
      <c r="G147" s="28"/>
      <c r="H147" s="28"/>
      <c r="I147" s="69"/>
      <c r="J147" s="28"/>
      <c r="K147" s="69"/>
      <c r="L147" s="24">
        <f t="shared" ref="L147:L149" si="164">SUM(C147:K147)</f>
        <v>-1</v>
      </c>
      <c r="M147" s="27" t="s">
        <v>31</v>
      </c>
      <c r="N147" s="69"/>
      <c r="O147" s="28"/>
      <c r="P147" s="69"/>
      <c r="Q147" s="69"/>
      <c r="R147" s="69"/>
      <c r="S147" s="28"/>
      <c r="T147" s="69">
        <v>-1</v>
      </c>
      <c r="U147" s="28"/>
      <c r="V147" s="28"/>
      <c r="W147" s="24">
        <f t="shared" ref="W147:W149" si="165">SUM(N147:V147)</f>
        <v>-1</v>
      </c>
      <c r="X147" s="25">
        <f t="shared" si="95"/>
        <v>-2</v>
      </c>
      <c r="Y147" s="61"/>
      <c r="Z147" s="61"/>
      <c r="AA147" s="61"/>
      <c r="AB147" s="61"/>
      <c r="AC147" s="61"/>
      <c r="AD147" s="61"/>
      <c r="AE147" s="61"/>
    </row>
    <row r="148" spans="1:31" ht="15.95" customHeight="1">
      <c r="A148" s="37"/>
      <c r="B148" s="60" t="s">
        <v>33</v>
      </c>
      <c r="C148" s="66">
        <f t="shared" ref="C148:K148" si="166">SUM(C146:C147)</f>
        <v>6</v>
      </c>
      <c r="D148" s="66">
        <f t="shared" si="166"/>
        <v>5</v>
      </c>
      <c r="E148" s="66">
        <f t="shared" si="166"/>
        <v>4</v>
      </c>
      <c r="F148" s="66">
        <f t="shared" si="166"/>
        <v>8</v>
      </c>
      <c r="G148" s="66">
        <f t="shared" si="166"/>
        <v>4</v>
      </c>
      <c r="H148" s="66">
        <f t="shared" si="166"/>
        <v>4</v>
      </c>
      <c r="I148" s="66">
        <f t="shared" si="166"/>
        <v>5</v>
      </c>
      <c r="J148" s="66">
        <f t="shared" si="166"/>
        <v>3</v>
      </c>
      <c r="K148" s="66">
        <f t="shared" si="166"/>
        <v>5</v>
      </c>
      <c r="L148" s="22">
        <f t="shared" si="164"/>
        <v>44</v>
      </c>
      <c r="M148" s="60" t="s">
        <v>33</v>
      </c>
      <c r="N148" s="66">
        <f t="shared" ref="N148:V148" si="167">SUM(N146:N147)</f>
        <v>5</v>
      </c>
      <c r="O148" s="66">
        <f t="shared" si="167"/>
        <v>5</v>
      </c>
      <c r="P148" s="66">
        <f t="shared" si="167"/>
        <v>6</v>
      </c>
      <c r="Q148" s="66">
        <f t="shared" si="167"/>
        <v>4</v>
      </c>
      <c r="R148" s="66">
        <f t="shared" si="167"/>
        <v>5</v>
      </c>
      <c r="S148" s="66">
        <f t="shared" si="167"/>
        <v>4</v>
      </c>
      <c r="T148" s="66">
        <f t="shared" si="167"/>
        <v>4</v>
      </c>
      <c r="U148" s="66">
        <f t="shared" si="167"/>
        <v>5</v>
      </c>
      <c r="V148" s="66">
        <f t="shared" si="167"/>
        <v>3</v>
      </c>
      <c r="W148" s="22">
        <f t="shared" si="165"/>
        <v>41</v>
      </c>
      <c r="X148" s="15">
        <f t="shared" si="95"/>
        <v>85</v>
      </c>
      <c r="Y148" s="61"/>
      <c r="Z148" s="61"/>
      <c r="AA148" s="61"/>
      <c r="AB148" s="61"/>
      <c r="AC148" s="61"/>
      <c r="AD148" s="61"/>
      <c r="AE148" s="61"/>
    </row>
    <row r="149" spans="1:31" ht="15.95" customHeight="1" thickBot="1">
      <c r="A149" s="53"/>
      <c r="B149" s="31" t="s">
        <v>34</v>
      </c>
      <c r="C149" s="32">
        <f t="shared" ref="C149:K149" si="168">IF(C148=0,0,IF(C148-C96=-3,3,IF(C148-C96=-2,1.5,IF(C148-C96=-1,0.8,IF(C148-C96=0,0.4,IF(C148-C96=1,0,IF(C148-C96&lt;=2&gt;15,0,_xludf.IF)))))))</f>
        <v>0</v>
      </c>
      <c r="D149" s="32">
        <f t="shared" si="168"/>
        <v>0</v>
      </c>
      <c r="E149" s="32">
        <f t="shared" si="168"/>
        <v>0</v>
      </c>
      <c r="F149" s="32">
        <f t="shared" si="168"/>
        <v>0</v>
      </c>
      <c r="G149" s="32">
        <f t="shared" si="168"/>
        <v>0</v>
      </c>
      <c r="H149" s="32">
        <f t="shared" si="168"/>
        <v>0.4</v>
      </c>
      <c r="I149" s="32">
        <f t="shared" si="168"/>
        <v>0</v>
      </c>
      <c r="J149" s="32">
        <f t="shared" si="168"/>
        <v>0.4</v>
      </c>
      <c r="K149" s="32">
        <f t="shared" si="168"/>
        <v>0.4</v>
      </c>
      <c r="L149" s="32">
        <f t="shared" si="164"/>
        <v>1.2000000000000002</v>
      </c>
      <c r="M149" s="31" t="s">
        <v>34</v>
      </c>
      <c r="N149" s="32">
        <f t="shared" ref="N149:V149" si="169">IF(N148=0,0,IF(N148-N96=-3,3,IF(N148-N96=-2,1.5,IF(N148-N96=-1,0.8,IF(N148-N96=0,0.4,IF(N148-N96=1,0,IF(N148-N96&lt;=2&gt;15,0,_xludf.IF)))))))</f>
        <v>0</v>
      </c>
      <c r="O149" s="32">
        <f t="shared" si="169"/>
        <v>0</v>
      </c>
      <c r="P149" s="32">
        <f t="shared" si="169"/>
        <v>0</v>
      </c>
      <c r="Q149" s="32">
        <f t="shared" si="169"/>
        <v>0.4</v>
      </c>
      <c r="R149" s="32">
        <f t="shared" si="169"/>
        <v>0</v>
      </c>
      <c r="S149" s="32">
        <f t="shared" si="169"/>
        <v>0</v>
      </c>
      <c r="T149" s="32">
        <f t="shared" si="169"/>
        <v>0.4</v>
      </c>
      <c r="U149" s="32">
        <f t="shared" si="169"/>
        <v>0.4</v>
      </c>
      <c r="V149" s="32">
        <f t="shared" si="169"/>
        <v>0.4</v>
      </c>
      <c r="W149" s="32">
        <f t="shared" si="165"/>
        <v>1.6</v>
      </c>
      <c r="X149" s="30">
        <f t="shared" si="95"/>
        <v>2.8000000000000003</v>
      </c>
      <c r="Y149" s="61"/>
      <c r="Z149" s="61"/>
      <c r="AA149" s="61"/>
      <c r="AB149" s="61"/>
      <c r="AC149" s="61"/>
      <c r="AD149" s="61"/>
      <c r="AE149" s="61"/>
    </row>
    <row r="150" spans="1:31" ht="15.95" customHeight="1">
      <c r="A150" s="56" t="s">
        <v>10</v>
      </c>
      <c r="B150" s="62" t="s">
        <v>32</v>
      </c>
      <c r="C150" s="58">
        <v>6</v>
      </c>
      <c r="D150" s="58">
        <v>5</v>
      </c>
      <c r="E150" s="58">
        <v>3</v>
      </c>
      <c r="F150" s="58">
        <v>5</v>
      </c>
      <c r="G150" s="58">
        <v>5</v>
      </c>
      <c r="H150" s="58">
        <v>4</v>
      </c>
      <c r="I150" s="58">
        <v>5</v>
      </c>
      <c r="J150" s="58">
        <v>5</v>
      </c>
      <c r="K150" s="58">
        <v>6</v>
      </c>
      <c r="L150" s="26">
        <f>SUM(C150:K150)</f>
        <v>44</v>
      </c>
      <c r="M150" s="62" t="s">
        <v>32</v>
      </c>
      <c r="N150" s="58">
        <v>6</v>
      </c>
      <c r="O150" s="58">
        <v>4</v>
      </c>
      <c r="P150" s="58">
        <v>5</v>
      </c>
      <c r="Q150" s="58">
        <v>6</v>
      </c>
      <c r="R150" s="58">
        <v>5</v>
      </c>
      <c r="S150" s="58">
        <v>4</v>
      </c>
      <c r="T150" s="58">
        <v>5</v>
      </c>
      <c r="U150" s="58">
        <v>5</v>
      </c>
      <c r="V150" s="58">
        <v>4</v>
      </c>
      <c r="W150" s="26">
        <f>SUM(N150:V150)</f>
        <v>44</v>
      </c>
      <c r="X150" s="33">
        <f t="shared" si="95"/>
        <v>88</v>
      </c>
      <c r="Y150" s="61"/>
      <c r="Z150" s="61"/>
      <c r="AA150" s="61"/>
      <c r="AB150" s="61"/>
      <c r="AC150" s="61"/>
      <c r="AD150" s="61"/>
      <c r="AE150" s="61"/>
    </row>
    <row r="151" spans="1:31" ht="15.95" customHeight="1">
      <c r="A151" s="57">
        <v>6</v>
      </c>
      <c r="B151" s="27" t="s">
        <v>31</v>
      </c>
      <c r="C151" s="69"/>
      <c r="D151" s="69"/>
      <c r="E151" s="69"/>
      <c r="F151" s="69">
        <v>-1</v>
      </c>
      <c r="G151" s="69"/>
      <c r="H151" s="69"/>
      <c r="I151" s="69"/>
      <c r="J151" s="69"/>
      <c r="K151" s="69">
        <v>-1</v>
      </c>
      <c r="L151" s="24">
        <f t="shared" ref="L151:L153" si="170">SUM(C151:K151)</f>
        <v>-2</v>
      </c>
      <c r="M151" s="27" t="s">
        <v>31</v>
      </c>
      <c r="N151" s="69">
        <v>-1</v>
      </c>
      <c r="O151" s="28"/>
      <c r="P151" s="69">
        <v>-1</v>
      </c>
      <c r="Q151" s="28"/>
      <c r="R151" s="69">
        <v>-1</v>
      </c>
      <c r="S151" s="28"/>
      <c r="T151" s="69">
        <v>-1</v>
      </c>
      <c r="U151" s="28"/>
      <c r="V151" s="69"/>
      <c r="W151" s="24">
        <f t="shared" ref="W151:W153" si="171">SUM(N151:V151)</f>
        <v>-4</v>
      </c>
      <c r="X151" s="25">
        <f t="shared" si="95"/>
        <v>-6</v>
      </c>
      <c r="Y151" s="61"/>
      <c r="Z151" s="61"/>
      <c r="AA151" s="61"/>
      <c r="AB151" s="61"/>
      <c r="AC151" s="61"/>
      <c r="AD151" s="61"/>
      <c r="AE151" s="61"/>
    </row>
    <row r="152" spans="1:31" ht="15.95" customHeight="1">
      <c r="A152" s="37"/>
      <c r="B152" s="60" t="s">
        <v>33</v>
      </c>
      <c r="C152" s="66">
        <f t="shared" ref="C152:K152" si="172">SUM(C150:C151)</f>
        <v>6</v>
      </c>
      <c r="D152" s="66">
        <f t="shared" si="172"/>
        <v>5</v>
      </c>
      <c r="E152" s="66">
        <f t="shared" si="172"/>
        <v>3</v>
      </c>
      <c r="F152" s="66">
        <f t="shared" si="172"/>
        <v>4</v>
      </c>
      <c r="G152" s="66">
        <f t="shared" si="172"/>
        <v>5</v>
      </c>
      <c r="H152" s="66">
        <f t="shared" si="172"/>
        <v>4</v>
      </c>
      <c r="I152" s="66">
        <f t="shared" si="172"/>
        <v>5</v>
      </c>
      <c r="J152" s="66">
        <f t="shared" si="172"/>
        <v>5</v>
      </c>
      <c r="K152" s="66">
        <f t="shared" si="172"/>
        <v>5</v>
      </c>
      <c r="L152" s="22">
        <f t="shared" si="170"/>
        <v>42</v>
      </c>
      <c r="M152" s="60" t="s">
        <v>33</v>
      </c>
      <c r="N152" s="66">
        <f t="shared" ref="N152:V152" si="173">SUM(N150:N151)</f>
        <v>5</v>
      </c>
      <c r="O152" s="66">
        <f t="shared" si="173"/>
        <v>4</v>
      </c>
      <c r="P152" s="66">
        <f t="shared" si="173"/>
        <v>4</v>
      </c>
      <c r="Q152" s="66">
        <f t="shared" si="173"/>
        <v>6</v>
      </c>
      <c r="R152" s="66">
        <f t="shared" si="173"/>
        <v>4</v>
      </c>
      <c r="S152" s="66">
        <f t="shared" si="173"/>
        <v>4</v>
      </c>
      <c r="T152" s="66">
        <f t="shared" si="173"/>
        <v>4</v>
      </c>
      <c r="U152" s="66">
        <f t="shared" si="173"/>
        <v>5</v>
      </c>
      <c r="V152" s="66">
        <f t="shared" si="173"/>
        <v>4</v>
      </c>
      <c r="W152" s="22">
        <f t="shared" si="171"/>
        <v>40</v>
      </c>
      <c r="X152" s="15">
        <f t="shared" si="95"/>
        <v>82</v>
      </c>
      <c r="Y152" s="61"/>
      <c r="Z152" s="61"/>
      <c r="AA152" s="61"/>
      <c r="AB152" s="61"/>
      <c r="AC152" s="61"/>
      <c r="AD152" s="61"/>
      <c r="AE152" s="61"/>
    </row>
    <row r="153" spans="1:31" ht="15.95" customHeight="1" thickBot="1">
      <c r="A153" s="53"/>
      <c r="B153" s="31" t="s">
        <v>34</v>
      </c>
      <c r="C153" s="32">
        <f>IF(C152=0,0,IF(C152-C96=-3,3,IF(C152-C96=-2,1.5,IF(C152-C96=-1,0.8,IF(C152-C96=0,0.4,IF(C152-C96=1,0,IF(C152-C96&lt;=2&gt;15,0,_xludf.IF)))))))</f>
        <v>0</v>
      </c>
      <c r="D153" s="32">
        <f t="shared" ref="D153:K153" si="174">IF(D152=0,0,IF(D152-D96=-3,3,IF(D152-D96=-2,1.5,IF(D152-D96=-1,0.8,IF(D152-D96=0,0.4,IF(D152-D96=1,0,IF(D152-D96&lt;=2&gt;15,0,_xludf.IF)))))))</f>
        <v>0</v>
      </c>
      <c r="E153" s="32">
        <f t="shared" si="174"/>
        <v>0.4</v>
      </c>
      <c r="F153" s="32">
        <f t="shared" si="174"/>
        <v>0.8</v>
      </c>
      <c r="G153" s="32">
        <f t="shared" si="174"/>
        <v>0</v>
      </c>
      <c r="H153" s="32">
        <f t="shared" si="174"/>
        <v>0.4</v>
      </c>
      <c r="I153" s="32">
        <f t="shared" si="174"/>
        <v>0</v>
      </c>
      <c r="J153" s="32">
        <f t="shared" si="174"/>
        <v>0</v>
      </c>
      <c r="K153" s="32">
        <f t="shared" si="174"/>
        <v>0.4</v>
      </c>
      <c r="L153" s="32">
        <f t="shared" si="170"/>
        <v>2</v>
      </c>
      <c r="M153" s="31" t="s">
        <v>34</v>
      </c>
      <c r="N153" s="32">
        <f t="shared" ref="N153:V153" si="175">IF(N152=0,0,IF(N152-N96=-3,3,IF(N152-N96=-2,1.5,IF(N152-N96=-1,0.8,IF(N152-N96=0,0.4,IF(N152-N96=1,0,IF(N152-N96&lt;=2&gt;15,0,_xludf.IF)))))))</f>
        <v>0</v>
      </c>
      <c r="O153" s="32">
        <f t="shared" si="175"/>
        <v>0</v>
      </c>
      <c r="P153" s="32">
        <f t="shared" si="175"/>
        <v>0.8</v>
      </c>
      <c r="Q153" s="32">
        <f t="shared" si="175"/>
        <v>0</v>
      </c>
      <c r="R153" s="32">
        <f t="shared" si="175"/>
        <v>0.4</v>
      </c>
      <c r="S153" s="32">
        <f t="shared" si="175"/>
        <v>0</v>
      </c>
      <c r="T153" s="32">
        <f t="shared" si="175"/>
        <v>0.4</v>
      </c>
      <c r="U153" s="32">
        <f t="shared" si="175"/>
        <v>0.4</v>
      </c>
      <c r="V153" s="32">
        <f t="shared" si="175"/>
        <v>0</v>
      </c>
      <c r="W153" s="32">
        <f t="shared" si="171"/>
        <v>2</v>
      </c>
      <c r="X153" s="30">
        <f t="shared" si="95"/>
        <v>4</v>
      </c>
      <c r="Y153" s="61"/>
      <c r="Z153" s="61"/>
      <c r="AA153" s="61"/>
      <c r="AB153" s="61"/>
      <c r="AC153" s="61"/>
      <c r="AD153" s="61"/>
      <c r="AE153" s="61"/>
    </row>
    <row r="154" spans="1:31" ht="15.95" customHeight="1">
      <c r="A154" s="56" t="s">
        <v>5</v>
      </c>
      <c r="B154" s="62" t="s">
        <v>32</v>
      </c>
      <c r="C154" s="58">
        <v>6</v>
      </c>
      <c r="D154" s="58">
        <v>6</v>
      </c>
      <c r="E154" s="58">
        <v>3</v>
      </c>
      <c r="F154" s="58">
        <v>7</v>
      </c>
      <c r="G154" s="58">
        <v>3</v>
      </c>
      <c r="H154" s="58">
        <v>4</v>
      </c>
      <c r="I154" s="58">
        <v>5</v>
      </c>
      <c r="J154" s="58">
        <v>4</v>
      </c>
      <c r="K154" s="58">
        <v>4</v>
      </c>
      <c r="L154" s="26">
        <f>SUM(C154:K154)</f>
        <v>42</v>
      </c>
      <c r="M154" s="62" t="s">
        <v>32</v>
      </c>
      <c r="N154" s="58">
        <v>4</v>
      </c>
      <c r="O154" s="58">
        <v>4</v>
      </c>
      <c r="P154" s="58">
        <v>6</v>
      </c>
      <c r="Q154" s="58">
        <v>4</v>
      </c>
      <c r="R154" s="58">
        <v>6</v>
      </c>
      <c r="S154" s="58">
        <v>4</v>
      </c>
      <c r="T154" s="58">
        <v>6</v>
      </c>
      <c r="U154" s="58">
        <v>7</v>
      </c>
      <c r="V154" s="58">
        <v>4</v>
      </c>
      <c r="W154" s="26">
        <f>SUM(N154:V154)</f>
        <v>45</v>
      </c>
      <c r="X154" s="33">
        <f t="shared" si="95"/>
        <v>87</v>
      </c>
      <c r="Y154" s="61"/>
      <c r="Z154" s="61"/>
      <c r="AA154" s="61"/>
      <c r="AB154" s="61"/>
      <c r="AC154" s="61"/>
      <c r="AD154" s="61"/>
      <c r="AE154" s="61"/>
    </row>
    <row r="155" spans="1:31" ht="15.95" customHeight="1">
      <c r="A155" s="57">
        <v>7</v>
      </c>
      <c r="B155" s="27" t="s">
        <v>31</v>
      </c>
      <c r="C155" s="28"/>
      <c r="D155" s="28">
        <v>-1</v>
      </c>
      <c r="E155" s="28"/>
      <c r="F155" s="28">
        <v>-1</v>
      </c>
      <c r="G155" s="28"/>
      <c r="H155" s="28"/>
      <c r="I155" s="28"/>
      <c r="J155" s="28"/>
      <c r="K155" s="28">
        <v>-1</v>
      </c>
      <c r="L155" s="24">
        <f t="shared" ref="L155:L157" si="176">SUM(C155:K155)</f>
        <v>-3</v>
      </c>
      <c r="M155" s="27" t="s">
        <v>31</v>
      </c>
      <c r="N155" s="28">
        <v>-1</v>
      </c>
      <c r="O155" s="28"/>
      <c r="P155" s="28">
        <v>-1</v>
      </c>
      <c r="Q155" s="28"/>
      <c r="R155" s="28">
        <v>-1</v>
      </c>
      <c r="S155" s="28"/>
      <c r="T155" s="28">
        <v>-1</v>
      </c>
      <c r="U155" s="28"/>
      <c r="V155" s="28"/>
      <c r="W155" s="24">
        <f t="shared" ref="W155:W157" si="177">SUM(N155:V155)</f>
        <v>-4</v>
      </c>
      <c r="X155" s="25">
        <f t="shared" si="95"/>
        <v>-7</v>
      </c>
      <c r="Y155" s="61"/>
      <c r="Z155" s="61"/>
      <c r="AA155" s="61"/>
      <c r="AB155" s="61"/>
      <c r="AC155" s="61"/>
      <c r="AD155" s="61"/>
      <c r="AE155" s="61"/>
    </row>
    <row r="156" spans="1:31" ht="15.95" customHeight="1">
      <c r="A156" s="37"/>
      <c r="B156" s="60" t="s">
        <v>33</v>
      </c>
      <c r="C156" s="66">
        <f t="shared" ref="C156:K156" si="178">SUM(C154:C155)</f>
        <v>6</v>
      </c>
      <c r="D156" s="66">
        <f t="shared" si="178"/>
        <v>5</v>
      </c>
      <c r="E156" s="66">
        <f t="shared" si="178"/>
        <v>3</v>
      </c>
      <c r="F156" s="66">
        <f t="shared" si="178"/>
        <v>6</v>
      </c>
      <c r="G156" s="66">
        <f t="shared" si="178"/>
        <v>3</v>
      </c>
      <c r="H156" s="66">
        <f t="shared" si="178"/>
        <v>4</v>
      </c>
      <c r="I156" s="66">
        <f t="shared" si="178"/>
        <v>5</v>
      </c>
      <c r="J156" s="66">
        <f t="shared" si="178"/>
        <v>4</v>
      </c>
      <c r="K156" s="66">
        <f t="shared" si="178"/>
        <v>3</v>
      </c>
      <c r="L156" s="22">
        <f t="shared" si="176"/>
        <v>39</v>
      </c>
      <c r="M156" s="60" t="s">
        <v>33</v>
      </c>
      <c r="N156" s="66">
        <f t="shared" ref="N156:V156" si="179">SUM(N154:N155)</f>
        <v>3</v>
      </c>
      <c r="O156" s="66">
        <f t="shared" si="179"/>
        <v>4</v>
      </c>
      <c r="P156" s="66">
        <f t="shared" si="179"/>
        <v>5</v>
      </c>
      <c r="Q156" s="66">
        <f t="shared" si="179"/>
        <v>4</v>
      </c>
      <c r="R156" s="66">
        <f t="shared" si="179"/>
        <v>5</v>
      </c>
      <c r="S156" s="66">
        <f t="shared" si="179"/>
        <v>4</v>
      </c>
      <c r="T156" s="66">
        <f t="shared" si="179"/>
        <v>5</v>
      </c>
      <c r="U156" s="66">
        <f t="shared" si="179"/>
        <v>7</v>
      </c>
      <c r="V156" s="66">
        <f t="shared" si="179"/>
        <v>4</v>
      </c>
      <c r="W156" s="22">
        <f t="shared" si="177"/>
        <v>41</v>
      </c>
      <c r="X156" s="15">
        <f t="shared" si="95"/>
        <v>80</v>
      </c>
      <c r="Y156" s="61"/>
      <c r="Z156" s="61"/>
      <c r="AA156" s="61"/>
      <c r="AB156" s="61"/>
      <c r="AC156" s="61"/>
      <c r="AD156" s="61"/>
      <c r="AE156" s="61"/>
    </row>
    <row r="157" spans="1:31" ht="15.95" customHeight="1" thickBot="1">
      <c r="A157" s="53"/>
      <c r="B157" s="31" t="s">
        <v>34</v>
      </c>
      <c r="C157" s="32">
        <f t="shared" ref="C157:K157" si="180">IF(C156=0,0,IF(C156-C96=-3,3,IF(C156-C96=-2,1.5,IF(C156-C96=-1,0.8,IF(C156-C96=0,0.4,IF(C156-C96=1,0,IF(C156-C96&lt;=2&gt;15,0,_xludf.IF)))))))</f>
        <v>0</v>
      </c>
      <c r="D157" s="32">
        <f t="shared" si="180"/>
        <v>0</v>
      </c>
      <c r="E157" s="32">
        <f t="shared" si="180"/>
        <v>0.4</v>
      </c>
      <c r="F157" s="32">
        <f t="shared" si="180"/>
        <v>0</v>
      </c>
      <c r="G157" s="32">
        <f t="shared" si="180"/>
        <v>0.4</v>
      </c>
      <c r="H157" s="32">
        <f t="shared" si="180"/>
        <v>0.4</v>
      </c>
      <c r="I157" s="32">
        <f t="shared" si="180"/>
        <v>0</v>
      </c>
      <c r="J157" s="32">
        <f t="shared" si="180"/>
        <v>0</v>
      </c>
      <c r="K157" s="32">
        <f t="shared" si="180"/>
        <v>1.5</v>
      </c>
      <c r="L157" s="32">
        <f t="shared" si="176"/>
        <v>2.7</v>
      </c>
      <c r="M157" s="31" t="s">
        <v>34</v>
      </c>
      <c r="N157" s="32">
        <f t="shared" ref="N157:V157" si="181">IF(N156=0,0,IF(N156-N96=-3,3,IF(N156-N96=-2,1.5,IF(N156-N96=-1,0.8,IF(N156-N96=0,0.4,IF(N156-N96=1,0,IF(N156-N96&lt;=2&gt;15,0,_xludf.IF)))))))</f>
        <v>0.8</v>
      </c>
      <c r="O157" s="32">
        <f t="shared" si="181"/>
        <v>0</v>
      </c>
      <c r="P157" s="32">
        <f t="shared" si="181"/>
        <v>0.4</v>
      </c>
      <c r="Q157" s="32">
        <f t="shared" si="181"/>
        <v>0.4</v>
      </c>
      <c r="R157" s="32">
        <f t="shared" si="181"/>
        <v>0</v>
      </c>
      <c r="S157" s="32">
        <f t="shared" si="181"/>
        <v>0</v>
      </c>
      <c r="T157" s="32">
        <f t="shared" si="181"/>
        <v>0</v>
      </c>
      <c r="U157" s="32">
        <f t="shared" si="181"/>
        <v>0</v>
      </c>
      <c r="V157" s="32">
        <f t="shared" si="181"/>
        <v>0</v>
      </c>
      <c r="W157" s="32">
        <f t="shared" si="177"/>
        <v>1.6</v>
      </c>
      <c r="X157" s="30">
        <f t="shared" si="95"/>
        <v>4.3000000000000007</v>
      </c>
      <c r="Y157" s="61"/>
      <c r="Z157" s="61"/>
      <c r="AA157" s="61"/>
      <c r="AB157" s="61"/>
      <c r="AC157" s="61"/>
      <c r="AD157" s="61"/>
      <c r="AE157" s="61"/>
    </row>
    <row r="158" spans="1:31" ht="15.95" customHeight="1">
      <c r="A158" s="56" t="s">
        <v>22</v>
      </c>
      <c r="B158" s="62" t="s">
        <v>32</v>
      </c>
      <c r="C158" s="58">
        <v>10</v>
      </c>
      <c r="D158" s="58">
        <v>8</v>
      </c>
      <c r="E158" s="58">
        <v>5</v>
      </c>
      <c r="F158" s="58">
        <v>10</v>
      </c>
      <c r="G158" s="58">
        <v>5</v>
      </c>
      <c r="H158" s="58">
        <v>5</v>
      </c>
      <c r="I158" s="58">
        <v>8</v>
      </c>
      <c r="J158" s="58">
        <v>6</v>
      </c>
      <c r="K158" s="58">
        <v>10</v>
      </c>
      <c r="L158" s="26">
        <f>SUM(C158:K158)</f>
        <v>67</v>
      </c>
      <c r="M158" s="62" t="s">
        <v>32</v>
      </c>
      <c r="N158" s="58">
        <v>7</v>
      </c>
      <c r="O158" s="58">
        <v>6</v>
      </c>
      <c r="P158" s="58">
        <v>10</v>
      </c>
      <c r="Q158" s="58">
        <v>8</v>
      </c>
      <c r="R158" s="58">
        <v>6</v>
      </c>
      <c r="S158" s="58">
        <v>5</v>
      </c>
      <c r="T158" s="58">
        <v>8</v>
      </c>
      <c r="U158" s="58">
        <v>6</v>
      </c>
      <c r="V158" s="58">
        <v>6</v>
      </c>
      <c r="W158" s="26">
        <f>SUM(N158:V158)</f>
        <v>62</v>
      </c>
      <c r="X158" s="33">
        <f t="shared" si="95"/>
        <v>129</v>
      </c>
      <c r="Y158" s="61"/>
      <c r="Z158" s="61"/>
      <c r="AA158" s="61"/>
      <c r="AB158" s="61"/>
      <c r="AC158" s="61"/>
      <c r="AD158" s="61"/>
      <c r="AE158" s="61"/>
    </row>
    <row r="159" spans="1:31" ht="15.95" customHeight="1">
      <c r="A159" s="57">
        <v>18</v>
      </c>
      <c r="B159" s="27" t="s">
        <v>31</v>
      </c>
      <c r="C159" s="69">
        <v>-1</v>
      </c>
      <c r="D159" s="69">
        <v>-1</v>
      </c>
      <c r="E159" s="69">
        <v>-1</v>
      </c>
      <c r="F159" s="69">
        <v>-1</v>
      </c>
      <c r="G159" s="69">
        <v>-1</v>
      </c>
      <c r="H159" s="69">
        <v>-1</v>
      </c>
      <c r="I159" s="69">
        <v>-1</v>
      </c>
      <c r="J159" s="69">
        <v>-1</v>
      </c>
      <c r="K159" s="69">
        <v>-1</v>
      </c>
      <c r="L159" s="24">
        <f t="shared" ref="L159:L160" si="182">SUM(C159:K159)</f>
        <v>-9</v>
      </c>
      <c r="M159" s="27" t="s">
        <v>31</v>
      </c>
      <c r="N159" s="69">
        <v>-1</v>
      </c>
      <c r="O159" s="69">
        <v>-1</v>
      </c>
      <c r="P159" s="69">
        <v>-1</v>
      </c>
      <c r="Q159" s="69">
        <v>-1</v>
      </c>
      <c r="R159" s="69">
        <v>-1</v>
      </c>
      <c r="S159" s="69">
        <v>-1</v>
      </c>
      <c r="T159" s="69">
        <v>-1</v>
      </c>
      <c r="U159" s="69">
        <v>-1</v>
      </c>
      <c r="V159" s="69">
        <v>-1</v>
      </c>
      <c r="W159" s="24">
        <f t="shared" ref="W159:W161" si="183">SUM(N159:V159)</f>
        <v>-9</v>
      </c>
      <c r="X159" s="25">
        <f t="shared" si="95"/>
        <v>-18</v>
      </c>
      <c r="Y159" s="61"/>
      <c r="Z159" s="61"/>
      <c r="AA159" s="61"/>
      <c r="AB159" s="61"/>
      <c r="AC159" s="61"/>
      <c r="AD159" s="61"/>
      <c r="AE159" s="61"/>
    </row>
    <row r="160" spans="1:31" ht="15.95" customHeight="1">
      <c r="A160" s="37"/>
      <c r="B160" s="60" t="s">
        <v>33</v>
      </c>
      <c r="C160" s="66">
        <f t="shared" ref="C160:K160" si="184">SUM(C158:C159)</f>
        <v>9</v>
      </c>
      <c r="D160" s="66">
        <f t="shared" si="184"/>
        <v>7</v>
      </c>
      <c r="E160" s="66">
        <f t="shared" si="184"/>
        <v>4</v>
      </c>
      <c r="F160" s="66">
        <f t="shared" si="184"/>
        <v>9</v>
      </c>
      <c r="G160" s="66">
        <f t="shared" si="184"/>
        <v>4</v>
      </c>
      <c r="H160" s="66">
        <f t="shared" si="184"/>
        <v>4</v>
      </c>
      <c r="I160" s="66">
        <f t="shared" si="184"/>
        <v>7</v>
      </c>
      <c r="J160" s="66">
        <f t="shared" si="184"/>
        <v>5</v>
      </c>
      <c r="K160" s="66">
        <f t="shared" si="184"/>
        <v>9</v>
      </c>
      <c r="L160" s="22">
        <f t="shared" si="182"/>
        <v>58</v>
      </c>
      <c r="M160" s="60" t="s">
        <v>33</v>
      </c>
      <c r="N160" s="66">
        <f t="shared" ref="N160:V160" si="185">SUM(N158:N159)</f>
        <v>6</v>
      </c>
      <c r="O160" s="66">
        <f t="shared" si="185"/>
        <v>5</v>
      </c>
      <c r="P160" s="66">
        <f t="shared" si="185"/>
        <v>9</v>
      </c>
      <c r="Q160" s="66">
        <f t="shared" si="185"/>
        <v>7</v>
      </c>
      <c r="R160" s="66">
        <f t="shared" si="185"/>
        <v>5</v>
      </c>
      <c r="S160" s="66">
        <f t="shared" si="185"/>
        <v>4</v>
      </c>
      <c r="T160" s="66">
        <f t="shared" si="185"/>
        <v>7</v>
      </c>
      <c r="U160" s="66">
        <f t="shared" si="185"/>
        <v>5</v>
      </c>
      <c r="V160" s="66">
        <f t="shared" si="185"/>
        <v>5</v>
      </c>
      <c r="W160" s="22">
        <f t="shared" si="183"/>
        <v>53</v>
      </c>
      <c r="X160" s="15">
        <f t="shared" si="95"/>
        <v>111</v>
      </c>
      <c r="Y160" s="61"/>
      <c r="Z160" s="61"/>
      <c r="AA160" s="61"/>
      <c r="AB160" s="61"/>
      <c r="AC160" s="61"/>
      <c r="AD160" s="61"/>
      <c r="AE160" s="61"/>
    </row>
    <row r="161" spans="1:31" ht="15.95" customHeight="1" thickBot="1">
      <c r="A161" s="53"/>
      <c r="B161" s="31" t="s">
        <v>34</v>
      </c>
      <c r="C161" s="32">
        <f t="shared" ref="C161:K161" si="186">IF(C160=0,0,IF(C160-C96=-3,3,IF(C160-C96=-2,1.5,IF(C160-C96=-1,0.8,IF(C160-C96=0,0.4,IF(C160-C96=1,0,IF(C160-C96&lt;=2&gt;15,0,_xludf.IF)))))))</f>
        <v>0</v>
      </c>
      <c r="D161" s="32">
        <f t="shared" si="186"/>
        <v>0</v>
      </c>
      <c r="E161" s="32">
        <f t="shared" si="186"/>
        <v>0</v>
      </c>
      <c r="F161" s="32">
        <f t="shared" si="186"/>
        <v>0</v>
      </c>
      <c r="G161" s="32">
        <f t="shared" si="186"/>
        <v>0</v>
      </c>
      <c r="H161" s="32">
        <f t="shared" si="186"/>
        <v>0.4</v>
      </c>
      <c r="I161" s="32">
        <f t="shared" si="186"/>
        <v>0</v>
      </c>
      <c r="J161" s="32">
        <f t="shared" si="186"/>
        <v>0</v>
      </c>
      <c r="K161" s="32">
        <f t="shared" si="186"/>
        <v>0</v>
      </c>
      <c r="L161" s="32">
        <f>SUM(C161:K161)</f>
        <v>0.4</v>
      </c>
      <c r="M161" s="31" t="s">
        <v>34</v>
      </c>
      <c r="N161" s="32">
        <f t="shared" ref="N161:V161" si="187">IF(N160=0,0,IF(N160-N96=-3,3,IF(N160-N96=-2,1.5,IF(N160-N96=-1,0.8,IF(N160-N96=0,0.4,IF(N160-N96=1,0,IF(N160-N96&lt;=2&gt;15,0,_xludf.IF)))))))</f>
        <v>0</v>
      </c>
      <c r="O161" s="32">
        <f t="shared" si="187"/>
        <v>0</v>
      </c>
      <c r="P161" s="32">
        <f t="shared" si="187"/>
        <v>0</v>
      </c>
      <c r="Q161" s="32">
        <f t="shared" si="187"/>
        <v>0</v>
      </c>
      <c r="R161" s="32">
        <f t="shared" si="187"/>
        <v>0</v>
      </c>
      <c r="S161" s="32">
        <f t="shared" si="187"/>
        <v>0</v>
      </c>
      <c r="T161" s="32">
        <f t="shared" si="187"/>
        <v>0</v>
      </c>
      <c r="U161" s="32">
        <f t="shared" si="187"/>
        <v>0.4</v>
      </c>
      <c r="V161" s="32">
        <f t="shared" si="187"/>
        <v>0</v>
      </c>
      <c r="W161" s="32">
        <f t="shared" si="183"/>
        <v>0.4</v>
      </c>
      <c r="X161" s="30">
        <f t="shared" si="95"/>
        <v>0.8</v>
      </c>
      <c r="Y161" s="61"/>
      <c r="Z161" s="61"/>
      <c r="AA161" s="61"/>
      <c r="AB161" s="61"/>
      <c r="AC161" s="61"/>
      <c r="AD161" s="61"/>
      <c r="AE161" s="61"/>
    </row>
    <row r="162" spans="1:31" ht="15.95" customHeight="1">
      <c r="A162" s="80" t="s">
        <v>12</v>
      </c>
      <c r="B162" s="62" t="s">
        <v>32</v>
      </c>
      <c r="C162" s="58">
        <v>6</v>
      </c>
      <c r="D162" s="58">
        <v>4</v>
      </c>
      <c r="E162" s="58">
        <v>5</v>
      </c>
      <c r="F162" s="58">
        <v>5</v>
      </c>
      <c r="G162" s="58">
        <v>4</v>
      </c>
      <c r="H162" s="58">
        <v>6</v>
      </c>
      <c r="I162" s="58">
        <v>5</v>
      </c>
      <c r="J162" s="58">
        <v>4</v>
      </c>
      <c r="K162" s="58">
        <v>5</v>
      </c>
      <c r="L162" s="26">
        <f>SUM(C162:K162)</f>
        <v>44</v>
      </c>
      <c r="M162" s="62" t="s">
        <v>32</v>
      </c>
      <c r="N162" s="58">
        <v>5</v>
      </c>
      <c r="O162" s="58">
        <v>4</v>
      </c>
      <c r="P162" s="58">
        <v>7</v>
      </c>
      <c r="Q162" s="58">
        <v>6</v>
      </c>
      <c r="R162" s="58">
        <v>6</v>
      </c>
      <c r="S162" s="58">
        <v>4</v>
      </c>
      <c r="T162" s="58">
        <v>7</v>
      </c>
      <c r="U162" s="58">
        <v>5</v>
      </c>
      <c r="V162" s="58">
        <v>4</v>
      </c>
      <c r="W162" s="26">
        <f>SUM(N162:V162)</f>
        <v>48</v>
      </c>
      <c r="X162" s="33">
        <f t="shared" si="95"/>
        <v>92</v>
      </c>
      <c r="Y162" s="61"/>
      <c r="Z162" s="61"/>
      <c r="AA162" s="61"/>
      <c r="AB162" s="61"/>
      <c r="AC162" s="61"/>
      <c r="AD162" s="61"/>
      <c r="AE162" s="61"/>
    </row>
    <row r="163" spans="1:31" ht="15.95" customHeight="1">
      <c r="A163" s="81">
        <v>4</v>
      </c>
      <c r="B163" s="27" t="s">
        <v>31</v>
      </c>
      <c r="C163" s="69"/>
      <c r="D163" s="69"/>
      <c r="E163" s="28"/>
      <c r="F163" s="69">
        <v>-1</v>
      </c>
      <c r="G163" s="28"/>
      <c r="H163" s="28"/>
      <c r="I163" s="69"/>
      <c r="J163" s="28"/>
      <c r="K163" s="69">
        <v>-1</v>
      </c>
      <c r="L163" s="24">
        <f t="shared" ref="L163:L165" si="188">SUM(C163:K163)</f>
        <v>-2</v>
      </c>
      <c r="M163" s="27" t="s">
        <v>31</v>
      </c>
      <c r="N163" s="69"/>
      <c r="O163" s="28"/>
      <c r="P163" s="69">
        <v>-1</v>
      </c>
      <c r="Q163" s="69"/>
      <c r="R163" s="69"/>
      <c r="S163" s="28"/>
      <c r="T163" s="69">
        <v>-1</v>
      </c>
      <c r="U163" s="28"/>
      <c r="V163" s="28"/>
      <c r="W163" s="24">
        <f t="shared" ref="W163:W165" si="189">SUM(N163:V163)</f>
        <v>-2</v>
      </c>
      <c r="X163" s="25">
        <f t="shared" si="95"/>
        <v>-4</v>
      </c>
      <c r="Y163" s="61"/>
      <c r="Z163" s="61"/>
      <c r="AA163" s="61"/>
      <c r="AB163" s="61"/>
      <c r="AC163" s="61"/>
      <c r="AD163" s="61"/>
      <c r="AE163" s="61"/>
    </row>
    <row r="164" spans="1:31" ht="15.95" customHeight="1">
      <c r="A164" s="37"/>
      <c r="B164" s="60" t="s">
        <v>33</v>
      </c>
      <c r="C164" s="66">
        <f t="shared" ref="C164:K164" si="190">SUM(C162:C163)</f>
        <v>6</v>
      </c>
      <c r="D164" s="66">
        <f t="shared" si="190"/>
        <v>4</v>
      </c>
      <c r="E164" s="66">
        <f t="shared" si="190"/>
        <v>5</v>
      </c>
      <c r="F164" s="66">
        <f t="shared" si="190"/>
        <v>4</v>
      </c>
      <c r="G164" s="66">
        <f t="shared" si="190"/>
        <v>4</v>
      </c>
      <c r="H164" s="66">
        <f t="shared" si="190"/>
        <v>6</v>
      </c>
      <c r="I164" s="66">
        <f t="shared" si="190"/>
        <v>5</v>
      </c>
      <c r="J164" s="66">
        <f t="shared" si="190"/>
        <v>4</v>
      </c>
      <c r="K164" s="66">
        <f t="shared" si="190"/>
        <v>4</v>
      </c>
      <c r="L164" s="22">
        <f t="shared" si="188"/>
        <v>42</v>
      </c>
      <c r="M164" s="60" t="s">
        <v>33</v>
      </c>
      <c r="N164" s="66">
        <f t="shared" ref="N164:V164" si="191">SUM(N162:N163)</f>
        <v>5</v>
      </c>
      <c r="O164" s="66">
        <f t="shared" si="191"/>
        <v>4</v>
      </c>
      <c r="P164" s="66">
        <f t="shared" si="191"/>
        <v>6</v>
      </c>
      <c r="Q164" s="66">
        <f t="shared" si="191"/>
        <v>6</v>
      </c>
      <c r="R164" s="66">
        <f t="shared" si="191"/>
        <v>6</v>
      </c>
      <c r="S164" s="66">
        <f t="shared" si="191"/>
        <v>4</v>
      </c>
      <c r="T164" s="66">
        <f t="shared" si="191"/>
        <v>6</v>
      </c>
      <c r="U164" s="66">
        <f t="shared" si="191"/>
        <v>5</v>
      </c>
      <c r="V164" s="66">
        <f t="shared" si="191"/>
        <v>4</v>
      </c>
      <c r="W164" s="22">
        <f t="shared" si="189"/>
        <v>46</v>
      </c>
      <c r="X164" s="15">
        <f t="shared" si="95"/>
        <v>88</v>
      </c>
      <c r="Y164" s="61"/>
      <c r="Z164" s="61"/>
      <c r="AA164" s="61"/>
      <c r="AB164" s="61"/>
      <c r="AC164" s="61"/>
      <c r="AD164" s="61"/>
      <c r="AE164" s="61"/>
    </row>
    <row r="165" spans="1:31" ht="15.95" customHeight="1" thickBot="1">
      <c r="A165" s="53"/>
      <c r="B165" s="31" t="s">
        <v>34</v>
      </c>
      <c r="C165" s="32">
        <f>IF(C164=0,0,IF(C164-C96=-3,3,IF(C164-C96=-2,1.5,IF(C164-C96=-1,0.8,IF(C164-C96=0,0.4,IF(C164-C96=1,0,IF(C164-C96&lt;=2&gt;15,0,_xludf.IF)))))))</f>
        <v>0</v>
      </c>
      <c r="D165" s="32">
        <f>IF(D164=0,0,IF(D164-D96=-3,3,IF(D164-D96=-2,1.5,IF(D164-D96=-1,0.8,IF(D164-D96=0,0.4,IF(D164-D96=1,0,IF(D164-D96&lt;=2&gt;15,0,_xludf.IF)))))))</f>
        <v>0.4</v>
      </c>
      <c r="E165" s="32">
        <f>IF(E164=0,0,IF(E164-E96=-3,3,IF(E164-E96=-2,1.5,IF(E164-E96=-1,0.8,IF(E164-E96=0,0.4,IF(E164-E96=1,0,IF(E164-E96&lt;=2&gt;15,0,_xludf.IF)))))))</f>
        <v>0</v>
      </c>
      <c r="F165" s="32">
        <f>IF(F164=0,0,IF(F164-F96=-3,3,IF(F164-F96=-2,1.5,IF(F164-F96=-1,0.8,IF(F164-F96=0,0.4,IF(F164-F96=1,0,IF(F164-F96&lt;=2&gt;15,0,_xludf.IF)))))))</f>
        <v>0.8</v>
      </c>
      <c r="G165" s="32">
        <f>IF(G164=0,0,IF(G164-G96=-3,3,IF(G164-G96=-2,1.5,IF(G164-G96=-1,0.8,IF(G164-G96=0,0.4,IF(G164-G96=1,0,IF(G164-G96&lt;=2&gt;15,0,_xludf.IF)))))))</f>
        <v>0</v>
      </c>
      <c r="H165" s="32">
        <f>IF(H164=0,0,IF(H164-H96=-3,3,IF(H164-H96=-2,1.5,IF(H164-H96=-1,0.8,IF(H164-H96=0,0.4,IF(H164-H96=1,0,IF(H164-H96&lt;=2&gt;15,0,_xludf.IF)))))))</f>
        <v>0</v>
      </c>
      <c r="I165" s="32">
        <f>IF(I164=0,0,IF(I164-I96=-3,3,IF(I164-I96=-2,1.5,IF(I164-I96=-1,0.8,IF(I164-I96=0,0.4,IF(I164-I96=1,0,IF(I164-I96&lt;=2&gt;15,0,_xludf.IF)))))))</f>
        <v>0</v>
      </c>
      <c r="J165" s="32">
        <f>IF(J164=0,0,IF(J164-J96=-3,3,IF(J164-J96=-2,1.5,IF(J164-J96=-1,0.8,IF(J164-J96=0,0.4,IF(J164-J96=1,0,IF(J164-J96&lt;=2&gt;15,0,_xludf.IF)))))))</f>
        <v>0</v>
      </c>
      <c r="K165" s="32">
        <f>IF(K164=0,0,IF(K164-K96=-3,3,IF(K164-K96=-2,1.5,IF(K164-K96=-1,0.8,IF(K164-K96=0,0.4,IF(K164-K96=1,0,IF(K164-K96&lt;=2&gt;15,0,_xludf.IF)))))))</f>
        <v>0.8</v>
      </c>
      <c r="L165" s="32">
        <f t="shared" si="188"/>
        <v>2</v>
      </c>
      <c r="M165" s="31" t="s">
        <v>34</v>
      </c>
      <c r="N165" s="32">
        <f>IF(N164=0,0,IF(N164-N96=-3,3,IF(N164-N96=-2,1.5,IF(N164-N96=-1,0.8,IF(N164-N96=0,0.4,IF(N164-N96=1,0,IF(N164-N96&lt;=2&gt;15,0,_xludf.IF)))))))</f>
        <v>0</v>
      </c>
      <c r="O165" s="32">
        <f>IF(O164=0,0,IF(O164-O96=-3,3,IF(O164-O96=-2,1.5,IF(O164-O96=-1,0.8,IF(O164-O96=0,0.4,IF(O164-O96=1,0,IF(O164-O96&lt;=2&gt;15,0,_xludf.IF)))))))</f>
        <v>0</v>
      </c>
      <c r="P165" s="32">
        <f>IF(P164=0,0,IF(P164-P96=-3,3,IF(P164-P96=-2,1.5,IF(P164-P96=-1,0.8,IF(P164-P96=0,0.4,IF(P164-P96=1,0,IF(P164-P96&lt;=2&gt;15,0,_xludf.IF)))))))</f>
        <v>0</v>
      </c>
      <c r="Q165" s="32">
        <f>IF(Q164=0,0,IF(Q164-Q96=-3,3,IF(Q164-Q96=-2,1.5,IF(Q164-Q96=-1,0.8,IF(Q164-Q96=0,0.4,IF(Q164-Q96=1,0,IF(Q164-Q96&lt;=2&gt;15,0,_xludf.IF)))))))</f>
        <v>0</v>
      </c>
      <c r="R165" s="32">
        <f>IF(R164=0,0,IF(R164-R96=-3,3,IF(R164-R96=-2,1.5,IF(R164-R96=-1,0.8,IF(R164-R96=0,0.4,IF(R164-R96=1,0,IF(R164-R96&lt;=2&gt;15,0,_xludf.IF)))))))</f>
        <v>0</v>
      </c>
      <c r="S165" s="32">
        <f>IF(S164=0,0,IF(S164-S96=-3,3,IF(S164-S96=-2,1.5,IF(S164-S96=-1,0.8,IF(S164-S96=0,0.4,IF(S164-S96=1,0,IF(S164-S96&lt;=2&gt;15,0,_xludf.IF)))))))</f>
        <v>0</v>
      </c>
      <c r="T165" s="32">
        <f>IF(T164=0,0,IF(T164-T96=-3,3,IF(T164-T96=-2,1.5,IF(T164-T96=-1,0.8,IF(T164-T96=0,0.4,IF(T164-T96=1,0,IF(T164-T96&lt;=2&gt;15,0,_xludf.IF)))))))</f>
        <v>0</v>
      </c>
      <c r="U165" s="32">
        <f>IF(U164=0,0,IF(U164-U96=-3,3,IF(U164-U96=-2,1.5,IF(U164-U96=-1,0.8,IF(U164-U96=0,0.4,IF(U164-U96=1,0,IF(U164-U96&lt;=2&gt;15,0,_xludf.IF)))))))</f>
        <v>0.4</v>
      </c>
      <c r="V165" s="32">
        <f>IF(V164=0,0,IF(V164-V96=-3,3,IF(V164-V96=-2,1.5,IF(V164-V96=-1,0.8,IF(V164-V96=0,0.4,IF(V164-V96=1,0,IF(V164-V96&lt;=2&gt;15,0,_xludf.IF)))))))</f>
        <v>0</v>
      </c>
      <c r="W165" s="32">
        <f t="shared" si="189"/>
        <v>0.4</v>
      </c>
      <c r="X165" s="30">
        <f t="shared" ref="X165:X176" si="192">L165+W165</f>
        <v>2.4</v>
      </c>
      <c r="Y165" s="61"/>
      <c r="Z165" s="61"/>
      <c r="AA165" s="61"/>
      <c r="AB165" s="61"/>
      <c r="AC165" s="61"/>
      <c r="AD165" s="61"/>
      <c r="AE165" s="61"/>
    </row>
    <row r="166" spans="1:31" ht="15.95" customHeight="1">
      <c r="A166" s="80" t="s">
        <v>15</v>
      </c>
      <c r="B166" s="62" t="s">
        <v>32</v>
      </c>
      <c r="C166" s="58"/>
      <c r="D166" s="58"/>
      <c r="E166" s="58"/>
      <c r="F166" s="58"/>
      <c r="G166" s="58"/>
      <c r="H166" s="58"/>
      <c r="I166" s="58"/>
      <c r="J166" s="58"/>
      <c r="K166" s="58"/>
      <c r="L166" s="26">
        <f>SUM(C166:K166)</f>
        <v>0</v>
      </c>
      <c r="M166" s="62" t="s">
        <v>32</v>
      </c>
      <c r="N166" s="58"/>
      <c r="O166" s="58"/>
      <c r="P166" s="58"/>
      <c r="Q166" s="58"/>
      <c r="R166" s="58"/>
      <c r="S166" s="58"/>
      <c r="T166" s="58"/>
      <c r="U166" s="58"/>
      <c r="V166" s="58"/>
      <c r="W166" s="26">
        <f>SUM(N166:V166)</f>
        <v>0</v>
      </c>
      <c r="X166" s="33">
        <f t="shared" si="192"/>
        <v>0</v>
      </c>
      <c r="Y166" s="61"/>
      <c r="Z166" s="61"/>
      <c r="AA166" s="61"/>
      <c r="AB166" s="61"/>
      <c r="AC166" s="61"/>
      <c r="AD166" s="61"/>
      <c r="AE166" s="61"/>
    </row>
    <row r="167" spans="1:31" ht="15.95" customHeight="1">
      <c r="A167" s="81">
        <v>7</v>
      </c>
      <c r="B167" s="27" t="s">
        <v>31</v>
      </c>
      <c r="C167" s="69"/>
      <c r="D167" s="69">
        <v>-1</v>
      </c>
      <c r="E167" s="69"/>
      <c r="F167" s="69">
        <v>-1</v>
      </c>
      <c r="G167" s="69"/>
      <c r="H167" s="69"/>
      <c r="I167" s="69"/>
      <c r="J167" s="69"/>
      <c r="K167" s="69">
        <v>-1</v>
      </c>
      <c r="L167" s="24">
        <f t="shared" ref="L167:L169" si="193">SUM(C167:K167)</f>
        <v>-3</v>
      </c>
      <c r="M167" s="27" t="s">
        <v>31</v>
      </c>
      <c r="N167" s="69">
        <v>-1</v>
      </c>
      <c r="O167" s="28"/>
      <c r="P167" s="69">
        <v>-1</v>
      </c>
      <c r="Q167" s="28"/>
      <c r="R167" s="69">
        <v>-1</v>
      </c>
      <c r="S167" s="28"/>
      <c r="T167" s="69">
        <v>-1</v>
      </c>
      <c r="U167" s="28"/>
      <c r="V167" s="69"/>
      <c r="W167" s="24">
        <f t="shared" ref="W167:W169" si="194">SUM(N167:V167)</f>
        <v>-4</v>
      </c>
      <c r="X167" s="25">
        <f t="shared" si="192"/>
        <v>-7</v>
      </c>
      <c r="Y167" s="61"/>
      <c r="Z167" s="61"/>
      <c r="AA167" s="61"/>
      <c r="AB167" s="61"/>
      <c r="AC167" s="61"/>
      <c r="AD167" s="61"/>
      <c r="AE167" s="61"/>
    </row>
    <row r="168" spans="1:31" ht="15.95" customHeight="1">
      <c r="A168" s="37"/>
      <c r="B168" s="60" t="s">
        <v>33</v>
      </c>
      <c r="C168" s="66">
        <f t="shared" ref="C168:K168" si="195">SUM(C166:C167)</f>
        <v>0</v>
      </c>
      <c r="D168" s="66">
        <f t="shared" si="195"/>
        <v>-1</v>
      </c>
      <c r="E168" s="66">
        <f t="shared" si="195"/>
        <v>0</v>
      </c>
      <c r="F168" s="66">
        <f t="shared" si="195"/>
        <v>-1</v>
      </c>
      <c r="G168" s="66">
        <f t="shared" si="195"/>
        <v>0</v>
      </c>
      <c r="H168" s="66">
        <f t="shared" si="195"/>
        <v>0</v>
      </c>
      <c r="I168" s="66">
        <f t="shared" si="195"/>
        <v>0</v>
      </c>
      <c r="J168" s="66">
        <f t="shared" si="195"/>
        <v>0</v>
      </c>
      <c r="K168" s="66">
        <f t="shared" si="195"/>
        <v>-1</v>
      </c>
      <c r="L168" s="22">
        <f t="shared" si="193"/>
        <v>-3</v>
      </c>
      <c r="M168" s="60" t="s">
        <v>33</v>
      </c>
      <c r="N168" s="66">
        <f t="shared" ref="N168:V168" si="196">SUM(N166:N167)</f>
        <v>-1</v>
      </c>
      <c r="O168" s="66">
        <f t="shared" si="196"/>
        <v>0</v>
      </c>
      <c r="P168" s="66">
        <f t="shared" si="196"/>
        <v>-1</v>
      </c>
      <c r="Q168" s="66">
        <f t="shared" si="196"/>
        <v>0</v>
      </c>
      <c r="R168" s="66">
        <f t="shared" si="196"/>
        <v>-1</v>
      </c>
      <c r="S168" s="66">
        <f t="shared" si="196"/>
        <v>0</v>
      </c>
      <c r="T168" s="66">
        <f t="shared" si="196"/>
        <v>-1</v>
      </c>
      <c r="U168" s="66">
        <f t="shared" si="196"/>
        <v>0</v>
      </c>
      <c r="V168" s="66">
        <f t="shared" si="196"/>
        <v>0</v>
      </c>
      <c r="W168" s="22">
        <f t="shared" si="194"/>
        <v>-4</v>
      </c>
      <c r="X168" s="15">
        <f t="shared" si="192"/>
        <v>-7</v>
      </c>
      <c r="Y168" s="61"/>
      <c r="Z168" s="61"/>
      <c r="AA168" s="61"/>
      <c r="AB168" s="61"/>
      <c r="AC168" s="61"/>
      <c r="AD168" s="61"/>
      <c r="AE168" s="61"/>
    </row>
    <row r="169" spans="1:31" ht="15.95" customHeight="1" thickBot="1">
      <c r="A169" s="53"/>
      <c r="B169" s="31" t="s">
        <v>34</v>
      </c>
      <c r="C169" s="32">
        <f>IF(C168=0,0,IF(C168-C96=-3,3,IF(C168-C96=-2,1.5,IF(C168-C96=-1,0.8,IF(C168-C96=0,0.4,IF(C168-C96=1,0,IF(C168-C96&lt;=2&gt;15,0,_xludf.IF)))))))</f>
        <v>0</v>
      </c>
      <c r="D169" s="32">
        <f>IF(D168=0,0,IF(D168-D96=-3,3,IF(D168-D96=-2,1.5,IF(D168-D96=-1,0.8,IF(D168-D96=0,0.4,IF(D168-D96=1,0,IF(D168-D96&lt;=2&gt;15,0,_xludf.IF)))))))</f>
        <v>0</v>
      </c>
      <c r="E169" s="32">
        <f>IF(E168=0,0,IF(E168-E96=-3,3,IF(E168-E96=-2,1.5,IF(E168-E96=-1,0.8,IF(E168-E96=0,0.4,IF(E168-E96=1,0,IF(E168-E96&lt;=2&gt;15,0,_xludf.IF)))))))</f>
        <v>0</v>
      </c>
      <c r="F169" s="32">
        <f>IF(F168=0,0,IF(F168-F96=-3,3,IF(F168-F96=-2,1.5,IF(F168-F96=-1,0.8,IF(F168-F96=0,0.4,IF(F168-F96=1,0,IF(F168-F96&lt;=2&gt;15,0,_xludf.IF)))))))</f>
        <v>0</v>
      </c>
      <c r="G169" s="32">
        <f>IF(G168=0,0,IF(G168-G96=-3,3,IF(G168-G96=-2,1.5,IF(G168-G96=-1,0.8,IF(G168-G96=0,0.4,IF(G168-G96=1,0,IF(G168-G96&lt;=2&gt;15,0,_xludf.IF)))))))</f>
        <v>0</v>
      </c>
      <c r="H169" s="32">
        <f>IF(H168=0,0,IF(H168-H96=-3,3,IF(H168-H96=-2,1.5,IF(H168-H96=-1,0.8,IF(H168-H96=0,0.4,IF(H168-H96=1,0,IF(H168-H96&lt;=2&gt;15,0,_xludf.IF)))))))</f>
        <v>0</v>
      </c>
      <c r="I169" s="32">
        <f>IF(I168=0,0,IF(I168-I96=-3,3,IF(I168-I96=-2,1.5,IF(I168-I96=-1,0.8,IF(I168-I96=0,0.4,IF(I168-I96=1,0,IF(I168-I96&lt;=2&gt;15,0,_xludf.IF)))))))</f>
        <v>0</v>
      </c>
      <c r="J169" s="32">
        <f>IF(J168=0,0,IF(J168-J96=-3,3,IF(J168-J96=-2,1.5,IF(J168-J96=-1,0.8,IF(J168-J96=0,0.4,IF(J168-J96=1,0,IF(J168-J96&lt;=2&gt;15,0,_xludf.IF)))))))</f>
        <v>0</v>
      </c>
      <c r="K169" s="32">
        <f>IF(K168=0,0,IF(K168-K96=-3,3,IF(K168-K96=-2,1.5,IF(K168-K96=-1,0.8,IF(K168-K96=0,0.4,IF(K168-K96=1,0,IF(K168-K96&lt;=2&gt;15,0,_xludf.IF)))))))</f>
        <v>0</v>
      </c>
      <c r="L169" s="32">
        <f t="shared" si="193"/>
        <v>0</v>
      </c>
      <c r="M169" s="31" t="s">
        <v>34</v>
      </c>
      <c r="N169" s="32">
        <f>IF(N168=0,0,IF(N168-N96=-3,3,IF(N168-N96=-2,1.5,IF(N168-N96=-1,0.8,IF(N168-N96=0,0.4,IF(N168-N96=1,0,IF(N168-N96&lt;=2&gt;15,0,_xludf.IF)))))))</f>
        <v>0</v>
      </c>
      <c r="O169" s="32">
        <f>IF(O168=0,0,IF(O168-O96=-3,3,IF(O168-O96=-2,1.5,IF(O168-O96=-1,0.8,IF(O168-O96=0,0.4,IF(O168-O96=1,0,IF(O168-O96&lt;=2&gt;15,0,_xludf.IF)))))))</f>
        <v>0</v>
      </c>
      <c r="P169" s="32">
        <f>IF(P168=0,0,IF(P168-P96=-3,3,IF(P168-P96=-2,1.5,IF(P168-P96=-1,0.8,IF(P168-P96=0,0.4,IF(P168-P96=1,0,IF(P168-P96&lt;=2&gt;15,0,_xludf.IF)))))))</f>
        <v>0</v>
      </c>
      <c r="Q169" s="32">
        <f>IF(Q168=0,0,IF(Q168-Q96=-3,3,IF(Q168-Q96=-2,1.5,IF(Q168-Q96=-1,0.8,IF(Q168-Q96=0,0.4,IF(Q168-Q96=1,0,IF(Q168-Q96&lt;=2&gt;15,0,_xludf.IF)))))))</f>
        <v>0</v>
      </c>
      <c r="R169" s="32">
        <f>IF(R168=0,0,IF(R168-R96=-3,3,IF(R168-R96=-2,1.5,IF(R168-R96=-1,0.8,IF(R168-R96=0,0.4,IF(R168-R96=1,0,IF(R168-R96&lt;=2&gt;15,0,_xludf.IF)))))))</f>
        <v>0</v>
      </c>
      <c r="S169" s="32">
        <f>IF(S168=0,0,IF(S168-S96=-3,3,IF(S168-S96=-2,1.5,IF(S168-S96=-1,0.8,IF(S168-S96=0,0.4,IF(S168-S96=1,0,IF(S168-S96&lt;=2&gt;15,0,_xludf.IF)))))))</f>
        <v>0</v>
      </c>
      <c r="T169" s="32">
        <f>IF(T168=0,0,IF(T168-T96=-3,3,IF(T168-T96=-2,1.5,IF(T168-T96=-1,0.8,IF(T168-T96=0,0.4,IF(T168-T96=1,0,IF(T168-T96&lt;=2&gt;15,0,_xludf.IF)))))))</f>
        <v>0</v>
      </c>
      <c r="U169" s="32">
        <f>IF(U168=0,0,IF(U168-U96=-3,3,IF(U168-U96=-2,1.5,IF(U168-U96=-1,0.8,IF(U168-U96=0,0.4,IF(U168-U96=1,0,IF(U168-U96&lt;=2&gt;15,0,_xludf.IF)))))))</f>
        <v>0</v>
      </c>
      <c r="V169" s="32">
        <f>IF(V168=0,0,IF(V168-V96=-3,3,IF(V168-V96=-2,1.5,IF(V168-V96=-1,0.8,IF(V168-V96=0,0.4,IF(V168-V96=1,0,IF(V168-V96&lt;=2&gt;15,0,_xludf.IF)))))))</f>
        <v>0</v>
      </c>
      <c r="W169" s="32">
        <f t="shared" si="194"/>
        <v>0</v>
      </c>
      <c r="X169" s="30">
        <v>2</v>
      </c>
      <c r="Y169" s="61"/>
      <c r="Z169" s="61"/>
      <c r="AA169" s="61"/>
      <c r="AB169" s="61"/>
      <c r="AC169" s="61"/>
      <c r="AD169" s="61"/>
      <c r="AE169" s="61"/>
    </row>
    <row r="170" spans="1:31" ht="15.95" customHeight="1">
      <c r="A170" s="80" t="s">
        <v>39</v>
      </c>
      <c r="B170" s="62" t="s">
        <v>32</v>
      </c>
      <c r="C170" s="58">
        <v>5</v>
      </c>
      <c r="D170" s="58">
        <v>6</v>
      </c>
      <c r="E170" s="58">
        <v>7</v>
      </c>
      <c r="F170" s="58">
        <v>8</v>
      </c>
      <c r="G170" s="58">
        <v>6</v>
      </c>
      <c r="H170" s="58">
        <v>5</v>
      </c>
      <c r="I170" s="58">
        <v>7</v>
      </c>
      <c r="J170" s="58">
        <v>3</v>
      </c>
      <c r="K170" s="58">
        <v>8</v>
      </c>
      <c r="L170" s="26">
        <f>SUM(C170:K170)</f>
        <v>55</v>
      </c>
      <c r="M170" s="62" t="s">
        <v>32</v>
      </c>
      <c r="N170" s="58">
        <v>5</v>
      </c>
      <c r="O170" s="58">
        <v>5</v>
      </c>
      <c r="P170" s="58">
        <v>9</v>
      </c>
      <c r="Q170" s="58">
        <v>6</v>
      </c>
      <c r="R170" s="58">
        <v>7</v>
      </c>
      <c r="S170" s="58">
        <v>4</v>
      </c>
      <c r="T170" s="58">
        <v>5</v>
      </c>
      <c r="U170" s="58">
        <v>7</v>
      </c>
      <c r="V170" s="58">
        <v>4</v>
      </c>
      <c r="W170" s="26">
        <f>SUM(N170:V170)</f>
        <v>52</v>
      </c>
      <c r="X170" s="33">
        <f t="shared" si="192"/>
        <v>107</v>
      </c>
      <c r="Y170" s="61"/>
      <c r="Z170" s="61"/>
      <c r="AA170" s="61"/>
      <c r="AB170" s="61"/>
      <c r="AC170" s="61"/>
      <c r="AD170" s="61"/>
      <c r="AE170" s="61"/>
    </row>
    <row r="171" spans="1:31" ht="15.95" customHeight="1">
      <c r="A171" s="81">
        <v>11</v>
      </c>
      <c r="B171" s="27" t="s">
        <v>31</v>
      </c>
      <c r="C171" s="28">
        <v>-1</v>
      </c>
      <c r="D171" s="28">
        <v>-1</v>
      </c>
      <c r="E171" s="28"/>
      <c r="F171" s="28">
        <v>-1</v>
      </c>
      <c r="G171" s="28"/>
      <c r="H171" s="28">
        <v>-1</v>
      </c>
      <c r="I171" s="28">
        <v>-1</v>
      </c>
      <c r="J171" s="28"/>
      <c r="K171" s="28">
        <v>-1</v>
      </c>
      <c r="L171" s="24">
        <f t="shared" ref="L171:L173" si="197">SUM(C171:K171)</f>
        <v>-6</v>
      </c>
      <c r="M171" s="27" t="s">
        <v>31</v>
      </c>
      <c r="N171" s="28">
        <v>-1</v>
      </c>
      <c r="O171" s="28"/>
      <c r="P171" s="28">
        <v>-1</v>
      </c>
      <c r="Q171" s="28">
        <v>-1</v>
      </c>
      <c r="R171" s="28">
        <v>-1</v>
      </c>
      <c r="S171" s="28"/>
      <c r="T171" s="28">
        <v>-1</v>
      </c>
      <c r="U171" s="28"/>
      <c r="V171" s="28"/>
      <c r="W171" s="24">
        <f t="shared" ref="W171:W173" si="198">SUM(N171:V171)</f>
        <v>-5</v>
      </c>
      <c r="X171" s="25">
        <f t="shared" si="192"/>
        <v>-11</v>
      </c>
      <c r="Y171" s="61"/>
      <c r="Z171" s="61"/>
      <c r="AA171" s="61"/>
      <c r="AB171" s="61"/>
      <c r="AC171" s="61"/>
      <c r="AD171" s="61"/>
      <c r="AE171" s="61"/>
    </row>
    <row r="172" spans="1:31" ht="15.95" customHeight="1">
      <c r="A172" s="37"/>
      <c r="B172" s="60" t="s">
        <v>33</v>
      </c>
      <c r="C172" s="66">
        <f t="shared" ref="C172:K172" si="199">SUM(C170:C171)</f>
        <v>4</v>
      </c>
      <c r="D172" s="66">
        <f t="shared" si="199"/>
        <v>5</v>
      </c>
      <c r="E172" s="66">
        <f t="shared" si="199"/>
        <v>7</v>
      </c>
      <c r="F172" s="66">
        <f t="shared" si="199"/>
        <v>7</v>
      </c>
      <c r="G172" s="66">
        <f t="shared" si="199"/>
        <v>6</v>
      </c>
      <c r="H172" s="66">
        <f t="shared" si="199"/>
        <v>4</v>
      </c>
      <c r="I172" s="66">
        <f t="shared" si="199"/>
        <v>6</v>
      </c>
      <c r="J172" s="66">
        <f t="shared" si="199"/>
        <v>3</v>
      </c>
      <c r="K172" s="66">
        <f t="shared" si="199"/>
        <v>7</v>
      </c>
      <c r="L172" s="22">
        <f t="shared" si="197"/>
        <v>49</v>
      </c>
      <c r="M172" s="60" t="s">
        <v>33</v>
      </c>
      <c r="N172" s="66">
        <f t="shared" ref="N172:V172" si="200">SUM(N170:N171)</f>
        <v>4</v>
      </c>
      <c r="O172" s="66">
        <f t="shared" si="200"/>
        <v>5</v>
      </c>
      <c r="P172" s="66">
        <f t="shared" si="200"/>
        <v>8</v>
      </c>
      <c r="Q172" s="66">
        <f t="shared" si="200"/>
        <v>5</v>
      </c>
      <c r="R172" s="66">
        <f t="shared" si="200"/>
        <v>6</v>
      </c>
      <c r="S172" s="66">
        <f t="shared" si="200"/>
        <v>4</v>
      </c>
      <c r="T172" s="66">
        <f t="shared" si="200"/>
        <v>4</v>
      </c>
      <c r="U172" s="66">
        <f t="shared" si="200"/>
        <v>7</v>
      </c>
      <c r="V172" s="66">
        <f t="shared" si="200"/>
        <v>4</v>
      </c>
      <c r="W172" s="22">
        <f t="shared" si="198"/>
        <v>47</v>
      </c>
      <c r="X172" s="15">
        <f t="shared" si="192"/>
        <v>96</v>
      </c>
      <c r="Y172" s="61"/>
      <c r="Z172" s="61"/>
      <c r="AA172" s="61"/>
      <c r="AB172" s="61"/>
      <c r="AC172" s="61"/>
      <c r="AD172" s="61"/>
      <c r="AE172" s="61"/>
    </row>
    <row r="173" spans="1:31" ht="15.95" customHeight="1" thickBot="1">
      <c r="A173" s="53"/>
      <c r="B173" s="31" t="s">
        <v>34</v>
      </c>
      <c r="C173" s="32">
        <f>IF(C172=0,0,IF(C172-C96=-3,3,IF(C172-C96=-2,1.5,IF(C172-C96=-1,0.8,IF(C172-C96=0,0.4,IF(C172-C96=1,0,IF(C172-C96&lt;=2&gt;15,0,_xludf.IF)))))))</f>
        <v>0.8</v>
      </c>
      <c r="D173" s="32">
        <f>IF(D172=0,0,IF(D172-D96=-3,3,IF(D172-D96=-2,1.5,IF(D172-D96=-1,0.8,IF(D172-D96=0,0.4,IF(D172-D96=1,0,IF(D172-D96&lt;=2&gt;15,0,_xludf.IF)))))))</f>
        <v>0</v>
      </c>
      <c r="E173" s="32">
        <f>IF(E172=0,0,IF(E172-E96=-3,3,IF(E172-E96=-2,1.5,IF(E172-E96=-1,0.8,IF(E172-E96=0,0.4,IF(E172-E96=1,0,IF(E172-E96&lt;=2&gt;15,0,_xludf.IF)))))))</f>
        <v>0</v>
      </c>
      <c r="F173" s="32">
        <f>IF(F172=0,0,IF(F172-F96=-3,3,IF(F172-F96=-2,1.5,IF(F172-F96=-1,0.8,IF(F172-F96=0,0.4,IF(F172-F96=1,0,IF(F172-F96&lt;=2&gt;15,0,_xludf.IF)))))))</f>
        <v>0</v>
      </c>
      <c r="G173" s="32">
        <f>IF(G172=0,0,IF(G172-G96=-3,3,IF(G172-G96=-2,1.5,IF(G172-G96=-1,0.8,IF(G172-G96=0,0.4,IF(G172-G96=1,0,IF(G172-G96&lt;=2&gt;15,0,_xludf.IF)))))))</f>
        <v>0</v>
      </c>
      <c r="H173" s="32">
        <f>IF(H172=0,0,IF(H172-H96=-3,3,IF(H172-H96=-2,1.5,IF(H172-H96=-1,0.8,IF(H172-H96=0,0.4,IF(H172-H96=1,0,IF(H172-H96&lt;=2&gt;15,0,_xludf.IF)))))))</f>
        <v>0.4</v>
      </c>
      <c r="I173" s="32">
        <f>IF(I172=0,0,IF(I172-I96=-3,3,IF(I172-I96=-2,1.5,IF(I172-I96=-1,0.8,IF(I172-I96=0,0.4,IF(I172-I96=1,0,IF(I172-I96&lt;=2&gt;15,0,_xludf.IF)))))))</f>
        <v>0</v>
      </c>
      <c r="J173" s="32">
        <f>IF(J172=0,0,IF(J172-J96=-3,3,IF(J172-J96=-2,1.5,IF(J172-J96=-1,0.8,IF(J172-J96=0,0.4,IF(J172-J96=1,0,IF(J172-J96&lt;=2&gt;15,0,_xludf.IF)))))))</f>
        <v>0.4</v>
      </c>
      <c r="K173" s="32">
        <f>IF(K172=0,0,IF(K172-K96=-3,3,IF(K172-K96=-2,1.5,IF(K172-K96=-1,0.8,IF(K172-K96=0,0.4,IF(K172-K96=1,0,IF(K172-K96&lt;=2&gt;15,0,_xludf.IF)))))))</f>
        <v>0</v>
      </c>
      <c r="L173" s="32">
        <f t="shared" si="197"/>
        <v>1.6</v>
      </c>
      <c r="M173" s="31" t="s">
        <v>34</v>
      </c>
      <c r="N173" s="32">
        <f>IF(N172=0,0,IF(N172-N96=-3,3,IF(N172-N96=-2,1.5,IF(N172-N96=-1,0.8,IF(N172-N96=0,0.4,IF(N172-N96=1,0,IF(N172-N96&lt;=2&gt;15,0,_xludf.IF)))))))</f>
        <v>0.4</v>
      </c>
      <c r="O173" s="32">
        <f>IF(O172=0,0,IF(O172-O96=-3,3,IF(O172-O96=-2,1.5,IF(O172-O96=-1,0.8,IF(O172-O96=0,0.4,IF(O172-O96=1,0,IF(O172-O96&lt;=2&gt;15,0,_xludf.IF)))))))</f>
        <v>0</v>
      </c>
      <c r="P173" s="32">
        <f>IF(P172=0,0,IF(P172-P96=-3,3,IF(P172-P96=-2,1.5,IF(P172-P96=-1,0.8,IF(P172-P96=0,0.4,IF(P172-P96=1,0,IF(P172-P96&lt;=2&gt;15,0,_xludf.IF)))))))</f>
        <v>0</v>
      </c>
      <c r="Q173" s="32">
        <f>IF(Q172=0,0,IF(Q172-Q96=-3,3,IF(Q172-Q96=-2,1.5,IF(Q172-Q96=-1,0.8,IF(Q172-Q96=0,0.4,IF(Q172-Q96=1,0,IF(Q172-Q96&lt;=2&gt;15,0,_xludf.IF)))))))</f>
        <v>0</v>
      </c>
      <c r="R173" s="32">
        <f>IF(R172=0,0,IF(R172-R96=-3,3,IF(R172-R96=-2,1.5,IF(R172-R96=-1,0.8,IF(R172-R96=0,0.4,IF(R172-R96=1,0,IF(R172-R96&lt;=2&gt;15,0,_xludf.IF)))))))</f>
        <v>0</v>
      </c>
      <c r="S173" s="32">
        <f>IF(S172=0,0,IF(S172-S96=-3,3,IF(S172-S96=-2,1.5,IF(S172-S96=-1,0.8,IF(S172-S96=0,0.4,IF(S172-S96=1,0,IF(S172-S96&lt;=2&gt;15,0,_xludf.IF)))))))</f>
        <v>0</v>
      </c>
      <c r="T173" s="32">
        <f>IF(T172=0,0,IF(T172-T96=-3,3,IF(T172-T96=-2,1.5,IF(T172-T96=-1,0.8,IF(T172-T96=0,0.4,IF(T172-T96=1,0,IF(T172-T96&lt;=2&gt;15,0,_xludf.IF)))))))</f>
        <v>0.4</v>
      </c>
      <c r="U173" s="32">
        <f>IF(U172=0,0,IF(U172-U96=-3,3,IF(U172-U96=-2,1.5,IF(U172-U96=-1,0.8,IF(U172-U96=0,0.4,IF(U172-U96=1,0,IF(U172-U96&lt;=2&gt;15,0,_xludf.IF)))))))</f>
        <v>0</v>
      </c>
      <c r="V173" s="32">
        <f>IF(V172=0,0,IF(V172-V96=-3,3,IF(V172-V96=-2,1.5,IF(V172-V96=-1,0.8,IF(V172-V96=0,0.4,IF(V172-V96=1,0,IF(V172-V96&lt;=2&gt;15,0,_xludf.IF)))))))</f>
        <v>0</v>
      </c>
      <c r="W173" s="32">
        <f t="shared" si="198"/>
        <v>0.8</v>
      </c>
      <c r="X173" s="30">
        <f t="shared" si="192"/>
        <v>2.4000000000000004</v>
      </c>
      <c r="Y173" s="61"/>
      <c r="Z173" s="61"/>
      <c r="AA173" s="61"/>
      <c r="AB173" s="61"/>
      <c r="AC173" s="61"/>
      <c r="AD173" s="61"/>
      <c r="AE173" s="61"/>
    </row>
    <row r="174" spans="1:31" ht="15.95" customHeight="1">
      <c r="A174" s="80" t="s">
        <v>11</v>
      </c>
      <c r="B174" s="62" t="s">
        <v>32</v>
      </c>
      <c r="C174" s="58">
        <v>6</v>
      </c>
      <c r="D174" s="58">
        <v>5</v>
      </c>
      <c r="E174" s="58">
        <v>3</v>
      </c>
      <c r="F174" s="58">
        <v>7</v>
      </c>
      <c r="G174" s="58">
        <v>5</v>
      </c>
      <c r="H174" s="58">
        <v>6</v>
      </c>
      <c r="I174" s="58">
        <v>6</v>
      </c>
      <c r="J174" s="58">
        <v>5</v>
      </c>
      <c r="K174" s="58">
        <v>6</v>
      </c>
      <c r="L174" s="26">
        <f>SUM(C174:K174)</f>
        <v>49</v>
      </c>
      <c r="M174" s="62" t="s">
        <v>32</v>
      </c>
      <c r="N174" s="58">
        <v>6</v>
      </c>
      <c r="O174" s="58">
        <v>5</v>
      </c>
      <c r="P174" s="58">
        <v>6</v>
      </c>
      <c r="Q174" s="58">
        <v>3</v>
      </c>
      <c r="R174" s="58">
        <v>6</v>
      </c>
      <c r="S174" s="58">
        <v>4</v>
      </c>
      <c r="T174" s="58">
        <v>4</v>
      </c>
      <c r="U174" s="58">
        <v>5</v>
      </c>
      <c r="V174" s="58">
        <v>4</v>
      </c>
      <c r="W174" s="26">
        <f>SUM(N174:V174)</f>
        <v>43</v>
      </c>
      <c r="X174" s="33">
        <f t="shared" si="192"/>
        <v>92</v>
      </c>
      <c r="Y174" s="61"/>
      <c r="Z174" s="61"/>
      <c r="AA174" s="61"/>
      <c r="AB174" s="61"/>
      <c r="AC174" s="61"/>
      <c r="AD174" s="61"/>
      <c r="AE174" s="61"/>
    </row>
    <row r="175" spans="1:31" ht="15.95" customHeight="1">
      <c r="A175" s="81">
        <v>14</v>
      </c>
      <c r="B175" s="27" t="s">
        <v>31</v>
      </c>
      <c r="C175" s="69">
        <v>-1</v>
      </c>
      <c r="D175" s="69">
        <v>-1</v>
      </c>
      <c r="E175" s="69"/>
      <c r="F175" s="69">
        <v>-1</v>
      </c>
      <c r="G175" s="69"/>
      <c r="H175" s="69">
        <v>-1</v>
      </c>
      <c r="I175" s="69">
        <v>-1</v>
      </c>
      <c r="J175" s="69">
        <v>-1</v>
      </c>
      <c r="K175" s="69">
        <v>-1</v>
      </c>
      <c r="L175" s="24">
        <f t="shared" ref="L175:L176" si="201">SUM(C175:K175)</f>
        <v>-7</v>
      </c>
      <c r="M175" s="27" t="s">
        <v>31</v>
      </c>
      <c r="N175" s="69">
        <v>-1</v>
      </c>
      <c r="O175" s="69">
        <v>-1</v>
      </c>
      <c r="P175" s="69">
        <v>-1</v>
      </c>
      <c r="Q175" s="69">
        <v>-1</v>
      </c>
      <c r="R175" s="69">
        <v>-1</v>
      </c>
      <c r="S175" s="69"/>
      <c r="T175" s="69">
        <v>-1</v>
      </c>
      <c r="U175" s="69">
        <v>-1</v>
      </c>
      <c r="V175" s="69"/>
      <c r="W175" s="24">
        <f t="shared" ref="W175:W176" si="202">SUM(N175:V175)</f>
        <v>-7</v>
      </c>
      <c r="X175" s="25">
        <f t="shared" si="192"/>
        <v>-14</v>
      </c>
      <c r="Y175" s="61"/>
      <c r="Z175" s="61"/>
      <c r="AA175" s="61"/>
      <c r="AB175" s="61"/>
      <c r="AC175" s="61"/>
      <c r="AD175" s="61"/>
      <c r="AE175" s="61"/>
    </row>
    <row r="176" spans="1:31" ht="15.95" customHeight="1">
      <c r="A176" s="37"/>
      <c r="B176" s="60" t="s">
        <v>33</v>
      </c>
      <c r="C176" s="66">
        <f t="shared" ref="C176:K176" si="203">SUM(C174:C175)</f>
        <v>5</v>
      </c>
      <c r="D176" s="66">
        <f t="shared" si="203"/>
        <v>4</v>
      </c>
      <c r="E176" s="66">
        <f t="shared" si="203"/>
        <v>3</v>
      </c>
      <c r="F176" s="66">
        <f t="shared" si="203"/>
        <v>6</v>
      </c>
      <c r="G176" s="66">
        <f t="shared" si="203"/>
        <v>5</v>
      </c>
      <c r="H176" s="66">
        <f t="shared" si="203"/>
        <v>5</v>
      </c>
      <c r="I176" s="66">
        <f t="shared" si="203"/>
        <v>5</v>
      </c>
      <c r="J176" s="66">
        <f t="shared" si="203"/>
        <v>4</v>
      </c>
      <c r="K176" s="66">
        <f t="shared" si="203"/>
        <v>5</v>
      </c>
      <c r="L176" s="22">
        <f t="shared" si="201"/>
        <v>42</v>
      </c>
      <c r="M176" s="60" t="s">
        <v>33</v>
      </c>
      <c r="N176" s="66">
        <f t="shared" ref="N176:V176" si="204">SUM(N174:N175)</f>
        <v>5</v>
      </c>
      <c r="O176" s="66">
        <f t="shared" si="204"/>
        <v>4</v>
      </c>
      <c r="P176" s="66">
        <f t="shared" si="204"/>
        <v>5</v>
      </c>
      <c r="Q176" s="66">
        <f t="shared" si="204"/>
        <v>2</v>
      </c>
      <c r="R176" s="66">
        <f t="shared" si="204"/>
        <v>5</v>
      </c>
      <c r="S176" s="66">
        <f t="shared" si="204"/>
        <v>4</v>
      </c>
      <c r="T176" s="66">
        <f t="shared" si="204"/>
        <v>3</v>
      </c>
      <c r="U176" s="66">
        <f t="shared" si="204"/>
        <v>4</v>
      </c>
      <c r="V176" s="66">
        <f t="shared" si="204"/>
        <v>4</v>
      </c>
      <c r="W176" s="22">
        <f t="shared" si="202"/>
        <v>36</v>
      </c>
      <c r="X176" s="15">
        <f t="shared" si="192"/>
        <v>78</v>
      </c>
      <c r="Y176" s="61"/>
      <c r="Z176" s="61"/>
      <c r="AA176" s="61"/>
      <c r="AB176" s="61"/>
      <c r="AC176" s="61"/>
      <c r="AD176" s="61"/>
      <c r="AE176" s="61"/>
    </row>
    <row r="177" spans="1:24" ht="15.95" customHeight="1" thickBot="1">
      <c r="A177" s="53"/>
      <c r="B177" s="31" t="s">
        <v>34</v>
      </c>
      <c r="C177" s="32">
        <f>IF(C176=0,0,IF(C176-C96=-3,3,IF(C176-C96=-2,1.5,IF(C176-C96=-1,0.8,IF(C176-C96=0,0.4,IF(C176-C96=1,0,IF(C176-C96&lt;=2&gt;15,0,_xludf.IF)))))))</f>
        <v>0.4</v>
      </c>
      <c r="D177" s="32">
        <f>IF(D176=0,0,IF(D176-D96=-3,3,IF(D176-D96=-2,1.5,IF(D176-D96=-1,0.8,IF(D176-D96=0,0.4,IF(D176-D96=1,0,IF(D176-D96&lt;=2&gt;15,0,_xludf.IF)))))))</f>
        <v>0.4</v>
      </c>
      <c r="E177" s="32">
        <f>IF(E176=0,0,IF(E176-E96=-3,3,IF(E176-E96=-2,1.5,IF(E176-E96=-1,0.8,IF(E176-E96=0,0.4,IF(E176-E96=1,0,IF(E176-E96&lt;=2&gt;15,0,_xludf.IF)))))))</f>
        <v>0.4</v>
      </c>
      <c r="F177" s="32">
        <f>IF(F176=0,0,IF(F176-F96=-3,3,IF(F176-F96=-2,1.5,IF(F176-F96=-1,0.8,IF(F176-F96=0,0.4,IF(F176-F96=1,0,IF(F176-F96&lt;=2&gt;15,0,_xludf.IF)))))))</f>
        <v>0</v>
      </c>
      <c r="G177" s="32">
        <f>IF(G176=0,0,IF(G176-G96=-3,3,IF(G176-G96=-2,1.5,IF(G176-G96=-1,0.8,IF(G176-G96=0,0.4,IF(G176-G96=1,0,IF(G176-G96&lt;=2&gt;15,0,_xludf.IF)))))))</f>
        <v>0</v>
      </c>
      <c r="H177" s="32">
        <f>IF(H176=0,0,IF(H176-H96=-3,3,IF(H176-H96=-2,1.5,IF(H176-H96=-1,0.8,IF(H176-H96=0,0.4,IF(H176-H96=1,0,IF(H176-H96&lt;=2&gt;15,0,_xludf.IF)))))))</f>
        <v>0</v>
      </c>
      <c r="I177" s="32">
        <f>IF(I176=0,0,IF(I176-I96=-3,3,IF(I176-I96=-2,1.5,IF(I176-I96=-1,0.8,IF(I176-I96=0,0.4,IF(I176-I96=1,0,IF(I176-I96&lt;=2&gt;15,0,_xludf.IF)))))))</f>
        <v>0</v>
      </c>
      <c r="J177" s="32">
        <f>IF(J176=0,0,IF(J176-J96=-3,3,IF(J176-J96=-2,1.5,IF(J176-J96=-1,0.8,IF(J176-J96=0,0.4,IF(J176-J96=1,0,IF(J176-J96&lt;=2&gt;15,0,_xludf.IF)))))))</f>
        <v>0</v>
      </c>
      <c r="K177" s="32">
        <f>IF(K176=0,0,IF(K176-K96=-3,3,IF(K176-K96=-2,1.5,IF(K176-K96=-1,0.8,IF(K176-K96=0,0.4,IF(K176-K96=1,0,IF(K176-K96&lt;=2&gt;15,0,_xludf.IF)))))))</f>
        <v>0.4</v>
      </c>
      <c r="L177" s="32">
        <f>SUM(C177:K177)</f>
        <v>1.6</v>
      </c>
      <c r="M177" s="31" t="s">
        <v>34</v>
      </c>
      <c r="N177" s="32">
        <f>IF(N176=0,0,IF(N176-N96=-3,3,IF(N176-N96=-2,1.5,IF(N176-N96=-1,0.8,IF(N176-N96=0,0.4,IF(N176-N96=1,0,IF(N176-N96&lt;=2&gt;15,0,_xludf.IF)))))))</f>
        <v>0</v>
      </c>
      <c r="O177" s="32">
        <f>IF(O176=0,0,IF(O176-O96=-3,3,IF(O176-O96=-2,1.5,IF(O176-O96=-1,0.8,IF(O176-O96=0,0.4,IF(O176-O96=1,0,IF(O176-O96&lt;=2&gt;15,0,_xludf.IF)))))))</f>
        <v>0</v>
      </c>
      <c r="P177" s="32">
        <f>IF(P176=0,0,IF(P176-P96=-3,3,IF(P176-P96=-2,1.5,IF(P176-P96=-1,0.8,IF(P176-P96=0,0.4,IF(P176-P96=1,0,IF(P176-P96&lt;=2&gt;15,0,_xludf.IF)))))))</f>
        <v>0.4</v>
      </c>
      <c r="Q177" s="32">
        <f>IF(Q176=0,0,IF(Q176-Q96=-3,3,IF(Q176-Q96=-2,1.5,IF(Q176-Q96=-1,0.8,IF(Q176-Q96=0,0.4,IF(Q176-Q96=1,0,IF(Q176-Q96&lt;=2&gt;15,0,_xludf.IF)))))))</f>
        <v>1.5</v>
      </c>
      <c r="R177" s="32">
        <f>IF(R176=0,0,IF(R176-R96=-3,3,IF(R176-R96=-2,1.5,IF(R176-R96=-1,0.8,IF(R176-R96=0,0.4,IF(R176-R96=1,0,IF(R176-R96&lt;=2&gt;15,0,_xludf.IF)))))))</f>
        <v>0</v>
      </c>
      <c r="S177" s="32">
        <f>IF(S176=0,0,IF(S176-S96=-3,3,IF(S176-S96=-2,1.5,IF(S176-S96=-1,0.8,IF(S176-S96=0,0.4,IF(S176-S96=1,0,IF(S176-S96&lt;=2&gt;15,0,_xludf.IF)))))))</f>
        <v>0</v>
      </c>
      <c r="T177" s="32">
        <f>IF(T176=0,0,IF(T176-T96=-3,3,IF(T176-T96=-2,1.5,IF(T176-T96=-1,0.8,IF(T176-T96=0,0.4,IF(T176-T96=1,0,IF(T176-T96&lt;=2&gt;15,0,_xludf.IF)))))))</f>
        <v>0.8</v>
      </c>
      <c r="U177" s="32">
        <f>IF(U176=0,0,IF(U176-U96=-3,3,IF(U176-U96=-2,1.5,IF(U176-U96=-1,0.8,IF(U176-U96=0,0.4,IF(U176-U96=1,0,IF(U176-U96&lt;=2&gt;15,0,_xludf.IF)))))))</f>
        <v>0.8</v>
      </c>
      <c r="V177" s="32">
        <f>IF(V176=0,0,IF(V176-V96=-3,3,IF(V176-V96=-2,1.5,IF(V176-V96=-1,0.8,IF(V176-V96=0,0.4,IF(V176-V96=1,0,IF(V176-V96&lt;=2&gt;15,0,_xludf.IF)))))))</f>
        <v>0</v>
      </c>
      <c r="W177" s="32">
        <f t="shared" ref="W177" si="205">SUM(N177:V177)</f>
        <v>3.5</v>
      </c>
      <c r="X177" s="30">
        <f t="shared" ref="X177" si="206">L177+W177</f>
        <v>5.0999999999999996</v>
      </c>
    </row>
  </sheetData>
  <mergeCells count="4">
    <mergeCell ref="A1:X1"/>
    <mergeCell ref="A2:X2"/>
    <mergeCell ref="A91:X91"/>
    <mergeCell ref="A92:X92"/>
  </mergeCells>
  <phoneticPr fontId="0"/>
  <printOptions horizontalCentered="1" verticalCentered="1"/>
  <pageMargins left="0" right="0" top="0" bottom="0" header="0" footer="0"/>
  <pageSetup scale="50" orientation="portrait" horizontalDpi="360" vertic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9"/>
  <sheetViews>
    <sheetView zoomScale="64" zoomScaleNormal="64" zoomScalePageLayoutView="61" workbookViewId="0">
      <selection activeCell="J46" sqref="J46"/>
    </sheetView>
  </sheetViews>
  <sheetFormatPr defaultColWidth="10.875" defaultRowHeight="18"/>
  <cols>
    <col min="1" max="1" width="96.625" style="6" customWidth="1"/>
    <col min="2" max="7" width="12.625" style="5" customWidth="1"/>
    <col min="8" max="8" width="13.625" style="5" customWidth="1"/>
    <col min="9" max="17" width="12.625" style="5" customWidth="1"/>
    <col min="18" max="20" width="10.875" style="6"/>
    <col min="21" max="21" width="18.125" style="6" customWidth="1"/>
    <col min="22" max="16384" width="10.875" style="6"/>
  </cols>
  <sheetData>
    <row r="1" spans="1:21" s="41" customFormat="1" ht="24" customHeight="1">
      <c r="A1" s="48"/>
      <c r="B1" s="97" t="s">
        <v>42</v>
      </c>
      <c r="C1" s="97"/>
      <c r="D1" s="97"/>
      <c r="E1" s="97"/>
      <c r="F1" s="100" t="s">
        <v>43</v>
      </c>
      <c r="G1" s="100"/>
      <c r="H1" s="100"/>
      <c r="I1" s="100"/>
      <c r="J1" s="101" t="s">
        <v>44</v>
      </c>
      <c r="K1" s="101"/>
      <c r="L1" s="101"/>
      <c r="M1" s="101"/>
      <c r="N1" s="94" t="s">
        <v>45</v>
      </c>
      <c r="O1" s="94"/>
      <c r="P1" s="94"/>
      <c r="Q1" s="94"/>
      <c r="R1" s="91" t="s">
        <v>46</v>
      </c>
      <c r="S1" s="91"/>
      <c r="T1" s="91"/>
      <c r="U1" s="91"/>
    </row>
    <row r="2" spans="1:21" s="40" customFormat="1" ht="49.5" customHeight="1">
      <c r="A2" s="49" t="s">
        <v>47</v>
      </c>
      <c r="B2" s="39" t="s">
        <v>6</v>
      </c>
      <c r="C2" s="39" t="s">
        <v>2</v>
      </c>
      <c r="D2" s="39" t="s">
        <v>16</v>
      </c>
      <c r="E2" s="39" t="s">
        <v>4</v>
      </c>
      <c r="F2" s="39" t="s">
        <v>14</v>
      </c>
      <c r="G2" s="39" t="s">
        <v>35</v>
      </c>
      <c r="H2" s="39" t="s">
        <v>19</v>
      </c>
      <c r="I2" s="39" t="s">
        <v>17</v>
      </c>
      <c r="J2" s="39" t="s">
        <v>7</v>
      </c>
      <c r="K2" s="39" t="s">
        <v>10</v>
      </c>
      <c r="L2" s="39" t="s">
        <v>5</v>
      </c>
      <c r="M2" s="39" t="s">
        <v>48</v>
      </c>
      <c r="N2" s="39" t="s">
        <v>36</v>
      </c>
      <c r="O2" s="39" t="s">
        <v>37</v>
      </c>
      <c r="P2" s="39" t="s">
        <v>8</v>
      </c>
      <c r="Q2" s="39" t="s">
        <v>18</v>
      </c>
      <c r="R2" s="39" t="s">
        <v>12</v>
      </c>
      <c r="S2" s="39" t="s">
        <v>15</v>
      </c>
      <c r="T2" s="39" t="s">
        <v>39</v>
      </c>
      <c r="U2" s="39" t="s">
        <v>11</v>
      </c>
    </row>
    <row r="3" spans="1:21" ht="20.100000000000001" customHeight="1">
      <c r="A3" s="50" t="s">
        <v>49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21" ht="20.100000000000001" customHeight="1">
      <c r="A4" s="51" t="s">
        <v>50</v>
      </c>
      <c r="B4" s="74">
        <v>2</v>
      </c>
      <c r="C4" s="74"/>
      <c r="D4" s="74"/>
      <c r="E4" s="74">
        <v>4</v>
      </c>
      <c r="F4" s="87">
        <v>1</v>
      </c>
      <c r="G4" s="87"/>
      <c r="H4" s="87">
        <v>1</v>
      </c>
      <c r="I4" s="87">
        <v>2</v>
      </c>
      <c r="J4" s="88">
        <v>3</v>
      </c>
      <c r="K4" s="88">
        <v>1</v>
      </c>
      <c r="L4" s="88">
        <v>1</v>
      </c>
      <c r="M4" s="88"/>
      <c r="N4" s="86"/>
      <c r="O4" s="86"/>
      <c r="P4" s="86"/>
      <c r="Q4" s="86"/>
      <c r="R4" s="85">
        <v>1</v>
      </c>
      <c r="S4" s="85">
        <v>1</v>
      </c>
      <c r="T4" s="85">
        <v>1</v>
      </c>
      <c r="U4" s="85">
        <v>1</v>
      </c>
    </row>
    <row r="5" spans="1:21" ht="20.100000000000001" customHeight="1">
      <c r="A5" s="51" t="s">
        <v>51</v>
      </c>
      <c r="B5" s="74"/>
      <c r="C5" s="74"/>
      <c r="D5" s="74"/>
      <c r="E5" s="74"/>
      <c r="F5" s="87">
        <v>1</v>
      </c>
      <c r="G5" s="87">
        <v>1</v>
      </c>
      <c r="H5" s="87"/>
      <c r="I5" s="87"/>
      <c r="J5" s="88"/>
      <c r="K5" s="88"/>
      <c r="L5" s="88"/>
      <c r="M5" s="88"/>
      <c r="N5" s="86"/>
      <c r="O5" s="86"/>
      <c r="P5" s="86"/>
      <c r="Q5" s="86">
        <v>2</v>
      </c>
      <c r="R5" s="85">
        <v>1</v>
      </c>
      <c r="S5" s="85"/>
      <c r="T5" s="85">
        <v>1</v>
      </c>
      <c r="U5" s="85"/>
    </row>
    <row r="6" spans="1:21" ht="20.100000000000001" customHeight="1">
      <c r="A6" s="51" t="s">
        <v>52</v>
      </c>
      <c r="B6" s="74"/>
      <c r="C6" s="74">
        <v>2</v>
      </c>
      <c r="D6" s="74"/>
      <c r="E6" s="74"/>
      <c r="F6" s="87">
        <v>2</v>
      </c>
      <c r="G6" s="87">
        <v>2</v>
      </c>
      <c r="H6" s="87">
        <v>2</v>
      </c>
      <c r="I6" s="87"/>
      <c r="J6" s="88"/>
      <c r="K6" s="88"/>
      <c r="L6" s="88"/>
      <c r="M6" s="88"/>
      <c r="N6" s="86"/>
      <c r="O6" s="86">
        <v>2</v>
      </c>
      <c r="P6" s="86"/>
      <c r="Q6" s="86"/>
      <c r="R6" s="85"/>
      <c r="S6" s="85">
        <v>2</v>
      </c>
      <c r="T6" s="85">
        <v>2</v>
      </c>
      <c r="U6" s="85"/>
    </row>
    <row r="7" spans="1:21" ht="20.100000000000001" customHeight="1">
      <c r="A7" s="51" t="s">
        <v>53</v>
      </c>
      <c r="B7" s="74"/>
      <c r="C7" s="74">
        <v>2</v>
      </c>
      <c r="D7" s="74"/>
      <c r="E7" s="74">
        <v>2</v>
      </c>
      <c r="F7" s="87"/>
      <c r="G7" s="87">
        <v>2</v>
      </c>
      <c r="H7" s="87"/>
      <c r="I7" s="87">
        <v>2</v>
      </c>
      <c r="J7" s="88"/>
      <c r="K7" s="88"/>
      <c r="L7" s="88">
        <v>2</v>
      </c>
      <c r="M7" s="88">
        <v>2</v>
      </c>
      <c r="N7" s="86"/>
      <c r="O7" s="86"/>
      <c r="P7" s="86">
        <v>2</v>
      </c>
      <c r="Q7" s="86">
        <v>2</v>
      </c>
      <c r="R7" s="85"/>
      <c r="S7" s="85"/>
      <c r="T7" s="85"/>
      <c r="U7" s="85"/>
    </row>
    <row r="8" spans="1:21" ht="20.100000000000001" customHeight="1">
      <c r="A8" s="51" t="s">
        <v>54</v>
      </c>
      <c r="B8" s="74">
        <v>13</v>
      </c>
      <c r="C8" s="74">
        <v>16</v>
      </c>
      <c r="D8" s="74">
        <v>6</v>
      </c>
      <c r="E8" s="74">
        <v>9</v>
      </c>
      <c r="F8" s="87">
        <v>11</v>
      </c>
      <c r="G8" s="87">
        <v>8</v>
      </c>
      <c r="H8" s="87">
        <v>14</v>
      </c>
      <c r="I8" s="87">
        <v>11</v>
      </c>
      <c r="J8" s="88">
        <v>16</v>
      </c>
      <c r="K8" s="88">
        <v>9</v>
      </c>
      <c r="L8" s="88">
        <v>12</v>
      </c>
      <c r="M8" s="88">
        <v>5</v>
      </c>
      <c r="N8" s="86">
        <v>6</v>
      </c>
      <c r="O8" s="86">
        <v>3</v>
      </c>
      <c r="P8" s="86">
        <v>8</v>
      </c>
      <c r="Q8" s="86">
        <v>5</v>
      </c>
      <c r="R8" s="85">
        <v>6</v>
      </c>
      <c r="S8" s="85">
        <v>9</v>
      </c>
      <c r="T8" s="85">
        <v>5</v>
      </c>
      <c r="U8" s="85">
        <v>8</v>
      </c>
    </row>
    <row r="9" spans="1:21" ht="20.100000000000001" customHeight="1">
      <c r="A9" s="51" t="s">
        <v>55</v>
      </c>
      <c r="B9" s="74">
        <v>5</v>
      </c>
      <c r="C9" s="74">
        <v>0</v>
      </c>
      <c r="D9" s="74">
        <v>1.25</v>
      </c>
      <c r="E9" s="74">
        <v>5</v>
      </c>
      <c r="F9" s="87">
        <v>0</v>
      </c>
      <c r="G9" s="87">
        <v>2.5</v>
      </c>
      <c r="H9" s="87">
        <v>1.25</v>
      </c>
      <c r="I9" s="87">
        <v>0</v>
      </c>
      <c r="J9" s="88">
        <v>0</v>
      </c>
      <c r="K9" s="88">
        <v>2.5</v>
      </c>
      <c r="L9" s="88">
        <v>5</v>
      </c>
      <c r="M9" s="88">
        <v>0</v>
      </c>
      <c r="N9" s="86">
        <v>2.5</v>
      </c>
      <c r="O9" s="86">
        <v>2.5</v>
      </c>
      <c r="P9" s="86">
        <v>5</v>
      </c>
      <c r="Q9" s="86">
        <v>5</v>
      </c>
      <c r="R9" s="85">
        <v>5</v>
      </c>
      <c r="S9" s="85">
        <v>5</v>
      </c>
      <c r="T9" s="85">
        <v>5</v>
      </c>
      <c r="U9" s="85">
        <v>5</v>
      </c>
    </row>
    <row r="10" spans="1:21" ht="20.100000000000001" customHeight="1">
      <c r="A10" s="51"/>
      <c r="B10" s="74"/>
      <c r="C10" s="74"/>
      <c r="D10" s="74"/>
      <c r="E10" s="74"/>
      <c r="F10" s="87"/>
      <c r="G10" s="87"/>
      <c r="H10" s="87"/>
      <c r="I10" s="87"/>
      <c r="J10" s="88"/>
      <c r="K10" s="88"/>
      <c r="L10" s="88"/>
      <c r="M10" s="88"/>
      <c r="N10" s="86"/>
      <c r="O10" s="86"/>
      <c r="P10" s="86"/>
      <c r="Q10" s="86"/>
      <c r="R10" s="85"/>
      <c r="S10" s="85"/>
      <c r="T10" s="85"/>
      <c r="U10" s="85"/>
    </row>
    <row r="11" spans="1:21" ht="20.100000000000001" customHeight="1">
      <c r="A11" s="51"/>
      <c r="B11" s="74"/>
      <c r="C11" s="74"/>
      <c r="D11" s="74"/>
      <c r="E11" s="74"/>
      <c r="F11" s="87"/>
      <c r="G11" s="87"/>
      <c r="H11" s="87"/>
      <c r="I11" s="87"/>
      <c r="J11" s="88"/>
      <c r="K11" s="88"/>
      <c r="L11" s="88"/>
      <c r="M11" s="88"/>
      <c r="N11" s="86"/>
      <c r="O11" s="86"/>
      <c r="P11" s="86"/>
      <c r="Q11" s="86"/>
      <c r="R11" s="85"/>
      <c r="S11" s="85"/>
      <c r="T11" s="85"/>
      <c r="U11" s="85"/>
    </row>
    <row r="12" spans="1:21" ht="20.100000000000001" customHeight="1">
      <c r="A12" s="51"/>
      <c r="B12" s="74"/>
      <c r="C12" s="74"/>
      <c r="D12" s="74"/>
      <c r="E12" s="74"/>
      <c r="F12" s="87"/>
      <c r="G12" s="87"/>
      <c r="H12" s="87"/>
      <c r="I12" s="87"/>
      <c r="J12" s="88"/>
      <c r="K12" s="88"/>
      <c r="L12" s="88"/>
      <c r="M12" s="88"/>
      <c r="N12" s="86"/>
      <c r="O12" s="86"/>
      <c r="P12" s="86"/>
      <c r="Q12" s="86"/>
      <c r="R12" s="85"/>
      <c r="S12" s="85"/>
      <c r="T12" s="85"/>
      <c r="U12" s="85"/>
    </row>
    <row r="13" spans="1:21" ht="19.5" customHeight="1">
      <c r="A13" s="51" t="s">
        <v>56</v>
      </c>
      <c r="B13" s="75">
        <f>Golf!X133</f>
        <v>4</v>
      </c>
      <c r="C13" s="75">
        <f>Golf!X137</f>
        <v>3.2</v>
      </c>
      <c r="D13" s="75">
        <f>Golf!X141</f>
        <v>1.6</v>
      </c>
      <c r="E13" s="75">
        <f>Golf!X145</f>
        <v>5.9</v>
      </c>
      <c r="F13" s="68">
        <f>Golf!X101</f>
        <v>4.4000000000000004</v>
      </c>
      <c r="G13" s="68">
        <f>Golf!X105</f>
        <v>3.2</v>
      </c>
      <c r="H13" s="68">
        <f>Golf!X109</f>
        <v>1.6</v>
      </c>
      <c r="I13" s="68">
        <f>Golf!X113</f>
        <v>2</v>
      </c>
      <c r="J13" s="67">
        <f>Golf!X149</f>
        <v>2.8000000000000003</v>
      </c>
      <c r="K13" s="67">
        <f>Golf!X153</f>
        <v>4</v>
      </c>
      <c r="L13" s="67">
        <f>Golf!X157</f>
        <v>4.3000000000000007</v>
      </c>
      <c r="M13" s="67">
        <f>Golf!X161</f>
        <v>0.8</v>
      </c>
      <c r="N13" s="73">
        <f>Golf!X117</f>
        <v>3.5</v>
      </c>
      <c r="O13" s="73">
        <f>Golf!X121</f>
        <v>3.6</v>
      </c>
      <c r="P13" s="73">
        <f>Golf!X125</f>
        <v>3.2</v>
      </c>
      <c r="Q13" s="73">
        <f>Golf!X129</f>
        <v>1.2000000000000002</v>
      </c>
      <c r="R13" s="72">
        <f>Golf!X165</f>
        <v>2.4</v>
      </c>
      <c r="S13" s="72">
        <f>Golf!X169</f>
        <v>2</v>
      </c>
      <c r="T13" s="72">
        <f>Golf!X173</f>
        <v>2.4000000000000004</v>
      </c>
      <c r="U13" s="72">
        <f>Golf!X177</f>
        <v>5.0999999999999996</v>
      </c>
    </row>
    <row r="14" spans="1:21" ht="20.100000000000001" customHeight="1">
      <c r="A14" s="51" t="s">
        <v>57</v>
      </c>
      <c r="B14" s="75">
        <f>Golf!X43</f>
        <v>2.4000000000000004</v>
      </c>
      <c r="C14" s="75">
        <f>Golf!X47</f>
        <v>4.8</v>
      </c>
      <c r="D14" s="75">
        <f>Golf!X51</f>
        <v>3.2</v>
      </c>
      <c r="E14" s="75">
        <f>Golf!X55</f>
        <v>3.5999999999999996</v>
      </c>
      <c r="F14" s="68">
        <f>Golf!X11</f>
        <v>4.4000000000000004</v>
      </c>
      <c r="G14" s="68">
        <f>Golf!X15</f>
        <v>3.2</v>
      </c>
      <c r="H14" s="68">
        <f>Golf!X19</f>
        <v>4.4000000000000004</v>
      </c>
      <c r="I14" s="68">
        <f>Golf!X23</f>
        <v>6</v>
      </c>
      <c r="J14" s="71">
        <f>Golf!X59</f>
        <v>4.4000000000000004</v>
      </c>
      <c r="K14" s="71">
        <f>Golf!X63</f>
        <v>3.6</v>
      </c>
      <c r="L14" s="71">
        <f>Golf!X67</f>
        <v>3.6000000000000005</v>
      </c>
      <c r="M14" s="71">
        <f>Golf!X71</f>
        <v>2.8</v>
      </c>
      <c r="N14" s="73">
        <f>Golf!X27</f>
        <v>2.4000000000000004</v>
      </c>
      <c r="O14" s="73">
        <f>Golf!X31</f>
        <v>5.5</v>
      </c>
      <c r="P14" s="73">
        <f>Golf!X35</f>
        <v>6.7</v>
      </c>
      <c r="Q14" s="73">
        <f>Golf!X39</f>
        <v>2.4000000000000004</v>
      </c>
      <c r="R14" s="72">
        <f>Golf!X75</f>
        <v>2.7</v>
      </c>
      <c r="S14" s="72">
        <f>Golf!X79</f>
        <v>4.8</v>
      </c>
      <c r="T14" s="72">
        <f>Golf!X83</f>
        <v>1.6</v>
      </c>
      <c r="U14" s="72">
        <f>Golf!X87</f>
        <v>2.4000000000000004</v>
      </c>
    </row>
    <row r="15" spans="1:21" ht="20.100000000000001" customHeight="1">
      <c r="A15" s="51" t="s">
        <v>58</v>
      </c>
      <c r="B15" s="75">
        <v>8</v>
      </c>
      <c r="C15" s="75">
        <v>8</v>
      </c>
      <c r="D15" s="75">
        <v>8</v>
      </c>
      <c r="E15" s="75">
        <v>8</v>
      </c>
      <c r="F15" s="87">
        <v>0</v>
      </c>
      <c r="G15" s="87">
        <v>0</v>
      </c>
      <c r="H15" s="87">
        <v>0</v>
      </c>
      <c r="I15" s="87">
        <v>0</v>
      </c>
      <c r="J15" s="88">
        <v>4</v>
      </c>
      <c r="K15" s="88">
        <v>4</v>
      </c>
      <c r="L15" s="88">
        <v>4</v>
      </c>
      <c r="M15" s="88">
        <v>4</v>
      </c>
      <c r="N15" s="86">
        <v>6</v>
      </c>
      <c r="O15" s="86">
        <v>6</v>
      </c>
      <c r="P15" s="86">
        <v>6</v>
      </c>
      <c r="Q15" s="86">
        <v>6</v>
      </c>
      <c r="R15" s="85">
        <v>1.5</v>
      </c>
      <c r="S15" s="85">
        <v>1.5</v>
      </c>
      <c r="T15" s="85">
        <v>1.5</v>
      </c>
      <c r="U15" s="85">
        <v>1.5</v>
      </c>
    </row>
    <row r="16" spans="1:21" ht="20.100000000000001" customHeight="1">
      <c r="A16" s="51" t="s">
        <v>59</v>
      </c>
      <c r="B16" s="75">
        <v>4</v>
      </c>
      <c r="C16" s="75">
        <v>6</v>
      </c>
      <c r="D16" s="75">
        <v>6</v>
      </c>
      <c r="E16" s="75">
        <v>4</v>
      </c>
      <c r="F16" s="87">
        <v>3</v>
      </c>
      <c r="G16" s="87"/>
      <c r="H16" s="87"/>
      <c r="I16" s="87">
        <v>3</v>
      </c>
      <c r="J16" s="88">
        <v>7</v>
      </c>
      <c r="K16" s="88">
        <v>8</v>
      </c>
      <c r="L16" s="88">
        <v>8</v>
      </c>
      <c r="M16" s="88">
        <v>7</v>
      </c>
      <c r="N16" s="86">
        <v>2</v>
      </c>
      <c r="O16" s="86">
        <v>5</v>
      </c>
      <c r="P16" s="86">
        <v>4</v>
      </c>
      <c r="Q16" s="86">
        <v>2</v>
      </c>
      <c r="R16" s="85">
        <v>9</v>
      </c>
      <c r="S16" s="85">
        <v>1</v>
      </c>
      <c r="T16" s="85">
        <v>1</v>
      </c>
      <c r="U16" s="85">
        <v>9</v>
      </c>
    </row>
    <row r="17" spans="1:21" ht="20.100000000000001" customHeight="1">
      <c r="A17" s="51" t="s">
        <v>60</v>
      </c>
      <c r="B17" s="74"/>
      <c r="C17" s="74"/>
      <c r="D17" s="74"/>
      <c r="E17" s="74"/>
      <c r="F17" s="87"/>
      <c r="G17" s="87"/>
      <c r="H17" s="87"/>
      <c r="I17" s="87"/>
      <c r="J17" s="88"/>
      <c r="K17" s="88"/>
      <c r="L17" s="88"/>
      <c r="M17" s="88"/>
      <c r="N17" s="86"/>
      <c r="O17" s="86"/>
      <c r="P17" s="86"/>
      <c r="Q17" s="86"/>
      <c r="R17" s="85"/>
      <c r="S17" s="85"/>
      <c r="T17" s="85"/>
      <c r="U17" s="85"/>
    </row>
    <row r="18" spans="1:21" ht="20.100000000000001" hidden="1" customHeight="1">
      <c r="A18" s="52" t="s">
        <v>61</v>
      </c>
      <c r="B18" s="74"/>
      <c r="C18" s="74"/>
      <c r="D18" s="74"/>
      <c r="E18" s="74"/>
      <c r="F18" s="87"/>
      <c r="G18" s="87"/>
      <c r="H18" s="87"/>
      <c r="I18" s="87"/>
      <c r="J18" s="88"/>
      <c r="K18" s="88"/>
      <c r="L18" s="88"/>
      <c r="M18" s="88"/>
      <c r="N18" s="86"/>
      <c r="O18" s="86"/>
      <c r="P18" s="86"/>
      <c r="Q18" s="86"/>
      <c r="R18" s="85"/>
      <c r="S18" s="85"/>
      <c r="T18" s="85"/>
      <c r="U18" s="85"/>
    </row>
    <row r="19" spans="1:21" ht="20.100000000000001" hidden="1" customHeight="1">
      <c r="A19" s="51" t="s">
        <v>62</v>
      </c>
      <c r="B19" s="74"/>
      <c r="C19" s="74"/>
      <c r="D19" s="74"/>
      <c r="E19" s="74"/>
      <c r="F19" s="87"/>
      <c r="G19" s="87"/>
      <c r="H19" s="87"/>
      <c r="I19" s="87"/>
      <c r="J19" s="88"/>
      <c r="K19" s="88"/>
      <c r="L19" s="88"/>
      <c r="M19" s="88"/>
      <c r="N19" s="86"/>
      <c r="O19" s="86"/>
      <c r="P19" s="86"/>
      <c r="Q19" s="86"/>
      <c r="R19" s="85"/>
      <c r="S19" s="85"/>
      <c r="T19" s="85"/>
      <c r="U19" s="85"/>
    </row>
    <row r="20" spans="1:21" ht="20.100000000000001" hidden="1" customHeight="1">
      <c r="A20" s="51" t="s">
        <v>63</v>
      </c>
      <c r="B20" s="74"/>
      <c r="C20" s="74"/>
      <c r="D20" s="74"/>
      <c r="E20" s="74"/>
      <c r="F20" s="87"/>
      <c r="G20" s="87"/>
      <c r="H20" s="87"/>
      <c r="I20" s="87"/>
      <c r="J20" s="88"/>
      <c r="K20" s="88"/>
      <c r="L20" s="88"/>
      <c r="M20" s="88"/>
      <c r="N20" s="86"/>
      <c r="O20" s="86"/>
      <c r="P20" s="86"/>
      <c r="Q20" s="86"/>
      <c r="R20" s="85"/>
      <c r="S20" s="85"/>
      <c r="T20" s="85"/>
      <c r="U20" s="85"/>
    </row>
    <row r="21" spans="1:21" ht="20.100000000000001" hidden="1" customHeight="1">
      <c r="A21" s="51" t="s">
        <v>64</v>
      </c>
      <c r="B21" s="74"/>
      <c r="C21" s="74"/>
      <c r="D21" s="74"/>
      <c r="E21" s="74"/>
      <c r="F21" s="87"/>
      <c r="G21" s="87"/>
      <c r="H21" s="87"/>
      <c r="I21" s="87"/>
      <c r="J21" s="88"/>
      <c r="K21" s="88"/>
      <c r="L21" s="88"/>
      <c r="M21" s="88"/>
      <c r="N21" s="86"/>
      <c r="O21" s="86"/>
      <c r="P21" s="86"/>
      <c r="Q21" s="86"/>
      <c r="R21" s="85"/>
      <c r="S21" s="85"/>
      <c r="T21" s="85"/>
      <c r="U21" s="85"/>
    </row>
    <row r="22" spans="1:21" ht="20.100000000000001" hidden="1" customHeight="1">
      <c r="A22" s="51" t="s">
        <v>65</v>
      </c>
      <c r="B22" s="74"/>
      <c r="C22" s="74"/>
      <c r="D22" s="74"/>
      <c r="E22" s="74"/>
      <c r="F22" s="87"/>
      <c r="G22" s="87"/>
      <c r="H22" s="87"/>
      <c r="I22" s="87"/>
      <c r="J22" s="88"/>
      <c r="K22" s="88"/>
      <c r="L22" s="88"/>
      <c r="M22" s="88"/>
      <c r="N22" s="86"/>
      <c r="O22" s="86"/>
      <c r="P22" s="86"/>
      <c r="Q22" s="86"/>
      <c r="R22" s="85"/>
      <c r="S22" s="85"/>
      <c r="T22" s="85"/>
      <c r="U22" s="85"/>
    </row>
    <row r="23" spans="1:21" ht="20.100000000000001" hidden="1" customHeight="1">
      <c r="A23" s="51" t="s">
        <v>66</v>
      </c>
      <c r="B23" s="74"/>
      <c r="C23" s="74"/>
      <c r="D23" s="74"/>
      <c r="E23" s="74"/>
      <c r="F23" s="87"/>
      <c r="G23" s="87"/>
      <c r="H23" s="87"/>
      <c r="I23" s="87"/>
      <c r="J23" s="88"/>
      <c r="K23" s="88"/>
      <c r="L23" s="88"/>
      <c r="M23" s="88"/>
      <c r="N23" s="86"/>
      <c r="O23" s="86"/>
      <c r="P23" s="86"/>
      <c r="Q23" s="86"/>
      <c r="R23" s="85"/>
      <c r="S23" s="85"/>
      <c r="T23" s="85"/>
      <c r="U23" s="85"/>
    </row>
    <row r="24" spans="1:21" ht="19.5" customHeight="1">
      <c r="A24" s="52" t="s">
        <v>67</v>
      </c>
      <c r="B24" s="34">
        <f t="shared" ref="B24:U24" si="0">SUM(B4:B23)</f>
        <v>38.4</v>
      </c>
      <c r="C24" s="34">
        <f t="shared" si="0"/>
        <v>42</v>
      </c>
      <c r="D24" s="34">
        <f t="shared" si="0"/>
        <v>26.05</v>
      </c>
      <c r="E24" s="34">
        <f t="shared" si="0"/>
        <v>41.5</v>
      </c>
      <c r="F24" s="34">
        <f t="shared" si="0"/>
        <v>26.799999999999997</v>
      </c>
      <c r="G24" s="34">
        <f t="shared" si="0"/>
        <v>21.9</v>
      </c>
      <c r="H24" s="34">
        <f t="shared" si="0"/>
        <v>24.25</v>
      </c>
      <c r="I24" s="34">
        <f t="shared" si="0"/>
        <v>26</v>
      </c>
      <c r="J24" s="34">
        <f t="shared" si="0"/>
        <v>37.200000000000003</v>
      </c>
      <c r="K24" s="34">
        <f t="shared" si="0"/>
        <v>32.1</v>
      </c>
      <c r="L24" s="34">
        <f t="shared" si="0"/>
        <v>39.900000000000006</v>
      </c>
      <c r="M24" s="34">
        <f t="shared" si="0"/>
        <v>21.6</v>
      </c>
      <c r="N24" s="34">
        <f t="shared" si="0"/>
        <v>22.4</v>
      </c>
      <c r="O24" s="34">
        <f t="shared" si="0"/>
        <v>27.6</v>
      </c>
      <c r="P24" s="34">
        <f t="shared" si="0"/>
        <v>34.9</v>
      </c>
      <c r="Q24" s="34">
        <f t="shared" si="0"/>
        <v>25.6</v>
      </c>
      <c r="R24" s="34">
        <f t="shared" si="0"/>
        <v>28.6</v>
      </c>
      <c r="S24" s="34">
        <f t="shared" si="0"/>
        <v>26.3</v>
      </c>
      <c r="T24" s="34">
        <f t="shared" si="0"/>
        <v>20.5</v>
      </c>
      <c r="U24" s="34">
        <f t="shared" si="0"/>
        <v>32</v>
      </c>
    </row>
    <row r="25" spans="1:21" ht="20.100000000000001" customHeight="1">
      <c r="A25" s="52" t="s">
        <v>68</v>
      </c>
      <c r="B25" s="98">
        <f>SUM(B24:E24)</f>
        <v>147.94999999999999</v>
      </c>
      <c r="C25" s="99"/>
      <c r="D25" s="99"/>
      <c r="E25" s="99"/>
      <c r="F25" s="102">
        <f>SUM(F24:I24)</f>
        <v>98.949999999999989</v>
      </c>
      <c r="G25" s="103"/>
      <c r="H25" s="103"/>
      <c r="I25" s="103"/>
      <c r="J25" s="104">
        <f>SUM(J24:M24)</f>
        <v>130.80000000000001</v>
      </c>
      <c r="K25" s="105"/>
      <c r="L25" s="105"/>
      <c r="M25" s="105"/>
      <c r="N25" s="95">
        <f>SUM(N24:Q24)</f>
        <v>110.5</v>
      </c>
      <c r="O25" s="96"/>
      <c r="P25" s="96"/>
      <c r="Q25" s="96"/>
      <c r="R25" s="92">
        <f>SUM(R24:U24)</f>
        <v>107.4</v>
      </c>
      <c r="S25" s="93"/>
      <c r="T25" s="93"/>
      <c r="U25" s="93"/>
    </row>
    <row r="26" spans="1:21">
      <c r="A26" s="16"/>
      <c r="L26" s="70"/>
    </row>
    <row r="27" spans="1:21">
      <c r="A27" s="18" t="s">
        <v>69</v>
      </c>
      <c r="C27" s="5" t="s">
        <v>9</v>
      </c>
    </row>
    <row r="28" spans="1:21">
      <c r="A28" s="19"/>
    </row>
    <row r="29" spans="1:21">
      <c r="B29" s="43"/>
      <c r="C29" s="42"/>
    </row>
    <row r="30" spans="1:21">
      <c r="B30" s="43"/>
      <c r="C30" s="42"/>
    </row>
    <row r="31" spans="1:21">
      <c r="B31" s="43"/>
      <c r="C31" s="42"/>
    </row>
    <row r="32" spans="1:21">
      <c r="B32" s="43"/>
      <c r="C32" s="42"/>
    </row>
    <row r="33" spans="1:17">
      <c r="A33" s="6" t="s">
        <v>9</v>
      </c>
      <c r="B33" s="43"/>
      <c r="C33" s="42"/>
    </row>
    <row r="34" spans="1:17">
      <c r="B34" s="43"/>
      <c r="C34" s="42"/>
      <c r="G34" s="5" t="s">
        <v>9</v>
      </c>
    </row>
    <row r="35" spans="1:17">
      <c r="B35" s="43"/>
      <c r="C35" s="42"/>
    </row>
    <row r="38" spans="1:17">
      <c r="B38" s="44"/>
      <c r="C38" s="42"/>
      <c r="Q38" s="5" t="s">
        <v>9</v>
      </c>
    </row>
    <row r="39" spans="1:17">
      <c r="B39" s="44"/>
      <c r="C39" s="42"/>
    </row>
    <row r="40" spans="1:17">
      <c r="B40" s="44"/>
      <c r="C40" s="42"/>
      <c r="G40" s="5" t="s">
        <v>9</v>
      </c>
    </row>
    <row r="41" spans="1:17">
      <c r="B41" s="44"/>
      <c r="C41" s="42"/>
    </row>
    <row r="42" spans="1:17">
      <c r="B42" s="44"/>
      <c r="C42" s="42"/>
    </row>
    <row r="43" spans="1:17">
      <c r="B43" s="44"/>
      <c r="C43" s="42"/>
    </row>
    <row r="44" spans="1:17">
      <c r="B44" s="44"/>
      <c r="C44" s="42"/>
    </row>
    <row r="45" spans="1:17">
      <c r="B45" s="44"/>
      <c r="C45" s="42"/>
    </row>
    <row r="46" spans="1:17">
      <c r="B46" s="44"/>
      <c r="C46" s="42"/>
    </row>
    <row r="47" spans="1:17">
      <c r="B47" s="44"/>
      <c r="C47" s="42"/>
    </row>
    <row r="48" spans="1:17">
      <c r="B48" s="44"/>
      <c r="C48" s="42"/>
    </row>
    <row r="49" spans="2:3">
      <c r="B49" s="44"/>
      <c r="C49" s="42"/>
    </row>
  </sheetData>
  <mergeCells count="10">
    <mergeCell ref="R1:U1"/>
    <mergeCell ref="R25:U25"/>
    <mergeCell ref="N1:Q1"/>
    <mergeCell ref="N25:Q25"/>
    <mergeCell ref="B1:E1"/>
    <mergeCell ref="B25:E25"/>
    <mergeCell ref="F1:I1"/>
    <mergeCell ref="J1:M1"/>
    <mergeCell ref="F25:I25"/>
    <mergeCell ref="J25:M25"/>
  </mergeCells>
  <phoneticPr fontId="0"/>
  <printOptions horizontalCentered="1"/>
  <pageMargins left="0.5" right="0.5" top="0.5" bottom="0.5" header="0.5" footer="0.5"/>
  <pageSetup scale="37" orientation="landscape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4:G30"/>
  <sheetViews>
    <sheetView workbookViewId="0">
      <selection activeCell="G35" sqref="G35"/>
    </sheetView>
  </sheetViews>
  <sheetFormatPr defaultColWidth="8.875" defaultRowHeight="12.95"/>
  <sheetData>
    <row r="4" spans="1:7">
      <c r="C4" s="63" t="s">
        <v>70</v>
      </c>
      <c r="D4" s="63" t="s">
        <v>71</v>
      </c>
      <c r="E4" s="63" t="s">
        <v>72</v>
      </c>
      <c r="G4" s="63" t="s">
        <v>73</v>
      </c>
    </row>
    <row r="6" spans="1:7">
      <c r="A6" t="s">
        <v>74</v>
      </c>
      <c r="B6" s="61" t="s">
        <v>75</v>
      </c>
      <c r="C6">
        <v>0</v>
      </c>
      <c r="D6">
        <v>2</v>
      </c>
      <c r="E6">
        <f>SUM(C6-D6)</f>
        <v>-2</v>
      </c>
    </row>
    <row r="7" spans="1:7">
      <c r="B7" s="61" t="s">
        <v>76</v>
      </c>
      <c r="D7">
        <v>5</v>
      </c>
      <c r="E7">
        <f>SUM(C7-D7)</f>
        <v>-5</v>
      </c>
    </row>
    <row r="8" spans="1:7">
      <c r="B8" s="61" t="s">
        <v>77</v>
      </c>
      <c r="D8">
        <v>5</v>
      </c>
      <c r="E8">
        <f>SUM(C8-D8)</f>
        <v>-5</v>
      </c>
    </row>
    <row r="9" spans="1:7">
      <c r="B9" s="61" t="s">
        <v>78</v>
      </c>
      <c r="D9">
        <v>8</v>
      </c>
      <c r="E9">
        <f>SUM(C9-D9)</f>
        <v>-8</v>
      </c>
    </row>
    <row r="10" spans="1:7">
      <c r="E10">
        <f>SUM(E6:E9)</f>
        <v>-20</v>
      </c>
    </row>
    <row r="11" spans="1:7">
      <c r="A11" t="s">
        <v>79</v>
      </c>
      <c r="B11" s="61" t="s">
        <v>80</v>
      </c>
      <c r="D11">
        <v>0</v>
      </c>
      <c r="E11">
        <f>SUM(C11-D11)</f>
        <v>0</v>
      </c>
    </row>
    <row r="12" spans="1:7">
      <c r="B12" s="61" t="s">
        <v>81</v>
      </c>
      <c r="D12">
        <v>5</v>
      </c>
      <c r="E12">
        <f>SUM(C12-D12)</f>
        <v>-5</v>
      </c>
    </row>
    <row r="13" spans="1:7">
      <c r="B13" s="61" t="s">
        <v>82</v>
      </c>
      <c r="D13">
        <v>5</v>
      </c>
      <c r="E13">
        <f>SUM(C13-D13)</f>
        <v>-5</v>
      </c>
    </row>
    <row r="14" spans="1:7">
      <c r="B14" s="61" t="s">
        <v>83</v>
      </c>
      <c r="D14">
        <v>8</v>
      </c>
      <c r="E14">
        <f>SUM(C14-D14)</f>
        <v>-8</v>
      </c>
    </row>
    <row r="15" spans="1:7">
      <c r="E15">
        <f>SUM(E11:E14)</f>
        <v>-18</v>
      </c>
    </row>
    <row r="16" spans="1:7">
      <c r="A16" t="s">
        <v>84</v>
      </c>
      <c r="B16" s="61" t="s">
        <v>85</v>
      </c>
      <c r="D16">
        <v>4</v>
      </c>
      <c r="E16">
        <f>SUM(C16-D16)</f>
        <v>-4</v>
      </c>
    </row>
    <row r="17" spans="1:5">
      <c r="B17" s="61" t="s">
        <v>86</v>
      </c>
      <c r="D17">
        <v>3</v>
      </c>
      <c r="E17">
        <f>SUM(C17-D17)</f>
        <v>-3</v>
      </c>
    </row>
    <row r="18" spans="1:5">
      <c r="B18" s="61" t="s">
        <v>87</v>
      </c>
      <c r="D18">
        <v>7</v>
      </c>
      <c r="E18">
        <f>SUM(C18-D18)</f>
        <v>-7</v>
      </c>
    </row>
    <row r="19" spans="1:5">
      <c r="B19" s="61" t="s">
        <v>88</v>
      </c>
      <c r="D19">
        <v>8</v>
      </c>
      <c r="E19">
        <f>SUM(C19-D19)</f>
        <v>-8</v>
      </c>
    </row>
    <row r="20" spans="1:5">
      <c r="E20">
        <f>SUM(E16:E19)</f>
        <v>-22</v>
      </c>
    </row>
    <row r="21" spans="1:5">
      <c r="A21" t="s">
        <v>89</v>
      </c>
      <c r="B21" s="61" t="s">
        <v>90</v>
      </c>
      <c r="D21">
        <v>4</v>
      </c>
      <c r="E21">
        <f>SUM(C21-D21)</f>
        <v>-4</v>
      </c>
    </row>
    <row r="22" spans="1:5">
      <c r="B22" s="61" t="s">
        <v>91</v>
      </c>
      <c r="D22">
        <v>5</v>
      </c>
      <c r="E22">
        <f>SUM(C22-D22)</f>
        <v>-5</v>
      </c>
    </row>
    <row r="23" spans="1:5">
      <c r="B23" s="61" t="s">
        <v>92</v>
      </c>
      <c r="D23" s="61">
        <v>6</v>
      </c>
      <c r="E23">
        <f>SUM(C23-D23)</f>
        <v>-6</v>
      </c>
    </row>
    <row r="24" spans="1:5">
      <c r="B24" s="61" t="s">
        <v>93</v>
      </c>
      <c r="D24" s="61">
        <v>8</v>
      </c>
      <c r="E24">
        <f>SUM(C24-D24)</f>
        <v>-8</v>
      </c>
    </row>
    <row r="25" spans="1:5">
      <c r="E25">
        <f>SUM(E21:E24)</f>
        <v>-23</v>
      </c>
    </row>
    <row r="26" spans="1:5" hidden="1">
      <c r="A26" t="s">
        <v>94</v>
      </c>
      <c r="B26" t="s">
        <v>21</v>
      </c>
      <c r="D26">
        <v>5</v>
      </c>
      <c r="E26">
        <f>SUM(C26-D26)</f>
        <v>-5</v>
      </c>
    </row>
    <row r="27" spans="1:5" hidden="1">
      <c r="B27" t="s">
        <v>15</v>
      </c>
      <c r="D27">
        <v>6</v>
      </c>
      <c r="E27">
        <f t="shared" ref="E27:E29" si="0">SUM(C27-D27)</f>
        <v>-6</v>
      </c>
    </row>
    <row r="28" spans="1:5" hidden="1">
      <c r="B28" t="s">
        <v>95</v>
      </c>
      <c r="D28">
        <v>7</v>
      </c>
      <c r="E28">
        <f t="shared" si="0"/>
        <v>-7</v>
      </c>
    </row>
    <row r="29" spans="1:5" hidden="1">
      <c r="B29" t="s">
        <v>19</v>
      </c>
      <c r="D29">
        <v>9</v>
      </c>
      <c r="E29">
        <f t="shared" si="0"/>
        <v>-9</v>
      </c>
    </row>
    <row r="30" spans="1:5" hidden="1">
      <c r="E30">
        <f>SUM(E26:E29)</f>
        <v>-27</v>
      </c>
    </row>
  </sheetData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Christopher Wright</dc:creator>
  <cp:keywords/>
  <dc:description/>
  <cp:lastModifiedBy/>
  <cp:revision/>
  <dcterms:created xsi:type="dcterms:W3CDTF">2005-01-07T20:47:36Z</dcterms:created>
  <dcterms:modified xsi:type="dcterms:W3CDTF">2025-06-14T21:50:53Z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